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889868F6-574E-594B-8808-FEE55327C666}" xr6:coauthVersionLast="47" xr6:coauthVersionMax="47" xr10:uidLastSave="{00000000-0000-0000-0000-000000000000}"/>
  <bookViews>
    <workbookView xWindow="1900" yWindow="1720" windowWidth="24720" windowHeight="15900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H16" i="3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" i="1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" i="1"/>
  <c r="D56" i="3" l="1"/>
  <c r="F56" i="3" s="1"/>
  <c r="D8" i="3"/>
  <c r="D32" i="3"/>
  <c r="D64" i="3"/>
  <c r="F64" i="3" s="1"/>
  <c r="D40" i="3"/>
  <c r="F40" i="3" s="1"/>
  <c r="D16" i="3"/>
  <c r="D71" i="3"/>
  <c r="F71" i="3" s="1"/>
  <c r="D63" i="3"/>
  <c r="F63" i="3" s="1"/>
  <c r="D55" i="3"/>
  <c r="F55" i="3" s="1"/>
  <c r="D47" i="3"/>
  <c r="F47" i="3" s="1"/>
  <c r="D39" i="3"/>
  <c r="F39" i="3" s="1"/>
  <c r="D31" i="3"/>
  <c r="D23" i="3"/>
  <c r="D15" i="3"/>
  <c r="D7" i="3"/>
  <c r="D70" i="3"/>
  <c r="F70" i="3" s="1"/>
  <c r="D62" i="3"/>
  <c r="F62" i="3" s="1"/>
  <c r="D54" i="3"/>
  <c r="F54" i="3" s="1"/>
  <c r="D46" i="3"/>
  <c r="F46" i="3" s="1"/>
  <c r="D38" i="3"/>
  <c r="F38" i="3" s="1"/>
  <c r="D30" i="3"/>
  <c r="D22" i="3"/>
  <c r="D14" i="3"/>
  <c r="D6" i="3"/>
  <c r="D69" i="3"/>
  <c r="F69" i="3" s="1"/>
  <c r="D61" i="3"/>
  <c r="F61" i="3" s="1"/>
  <c r="D53" i="3"/>
  <c r="F53" i="3" s="1"/>
  <c r="D45" i="3"/>
  <c r="F45" i="3" s="1"/>
  <c r="D37" i="3"/>
  <c r="D29" i="3"/>
  <c r="D21" i="3"/>
  <c r="D13" i="3"/>
  <c r="D5" i="3"/>
  <c r="D68" i="3"/>
  <c r="F68" i="3" s="1"/>
  <c r="D60" i="3"/>
  <c r="F60" i="3" s="1"/>
  <c r="D52" i="3"/>
  <c r="F52" i="3" s="1"/>
  <c r="D44" i="3"/>
  <c r="F44" i="3" s="1"/>
  <c r="D36" i="3"/>
  <c r="D28" i="3"/>
  <c r="D20" i="3"/>
  <c r="D12" i="3"/>
  <c r="D4" i="3"/>
  <c r="D67" i="3"/>
  <c r="F67" i="3" s="1"/>
  <c r="D59" i="3"/>
  <c r="F59" i="3" s="1"/>
  <c r="D51" i="3"/>
  <c r="F51" i="3" s="1"/>
  <c r="D43" i="3"/>
  <c r="F43" i="3" s="1"/>
  <c r="D35" i="3"/>
  <c r="D27" i="3"/>
  <c r="D19" i="3"/>
  <c r="D11" i="3"/>
  <c r="D3" i="3"/>
  <c r="D2" i="3"/>
  <c r="D66" i="3"/>
  <c r="F66" i="3" s="1"/>
  <c r="D58" i="3"/>
  <c r="F58" i="3" s="1"/>
  <c r="D50" i="3"/>
  <c r="F50" i="3" s="1"/>
  <c r="D42" i="3"/>
  <c r="F42" i="3" s="1"/>
  <c r="D34" i="3"/>
  <c r="D26" i="3"/>
  <c r="D18" i="3"/>
  <c r="D10" i="3"/>
  <c r="D73" i="3"/>
  <c r="F73" i="3" s="1"/>
  <c r="D65" i="3"/>
  <c r="F65" i="3" s="1"/>
  <c r="D57" i="3"/>
  <c r="F57" i="3" s="1"/>
  <c r="D49" i="3"/>
  <c r="F49" i="3" s="1"/>
  <c r="D41" i="3"/>
  <c r="F41" i="3" s="1"/>
  <c r="D33" i="3"/>
  <c r="D25" i="3"/>
  <c r="D17" i="3"/>
  <c r="D9" i="3"/>
  <c r="D72" i="3"/>
  <c r="F72" i="3" s="1"/>
  <c r="D48" i="3"/>
  <c r="F48" i="3" s="1"/>
  <c r="D24" i="3"/>
</calcChain>
</file>

<file path=xl/sharedStrings.xml><?xml version="1.0" encoding="utf-8"?>
<sst xmlns="http://schemas.openxmlformats.org/spreadsheetml/2006/main" count="5113" uniqueCount="29">
  <si>
    <t>SULTAN ABDUL AZIZ SHAH INTERNATIONAL, MY</t>
  </si>
  <si>
    <t>PRCP_mm</t>
  </si>
  <si>
    <t>TMAX_C</t>
  </si>
  <si>
    <t>TMIN_C</t>
  </si>
  <si>
    <t>TAVG_C</t>
  </si>
  <si>
    <t>Raining_Day</t>
  </si>
  <si>
    <t/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</si>
  <si>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</si>
  <si>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</si>
  <si>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</si>
  <si>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</si>
  <si>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</si>
  <si>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</si>
  <si>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</si>
  <si>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</si>
  <si>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</si>
  <si>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</si>
  <si>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</si>
  <si>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</si>
  <si>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</si>
  <si>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</si>
  <si>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</si>
  <si>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</si>
  <si>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Population</t>
  </si>
  <si>
    <t>Incidence Rate</t>
  </si>
  <si>
    <t>Day</t>
  </si>
  <si>
    <t>Latitude</t>
  </si>
  <si>
    <t>Longitude</t>
  </si>
  <si>
    <t>Elevation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</si>
</sst>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2">
    <xf numFmtId="0" fontId="0" fillId="0" borderId="0" xfId="0"/>
    <xf numFmtId="0" fontId="18" fillId="0" borderId="0" xfId="0" applyFont="1"/>
    <xf numFmtId="0" fontId="19" fillId="0" borderId="0" xfId="0" applyFont="1"/>
    <xf numFmtId="0" fontId="16" fillId="0" borderId="0" xfId="0" applyFont="1"/>
    <xf numFmtId="0" fontId="21" fillId="0" borderId="0" xfId="0" applyFont="1"/>
    <xf numFmtId="0" fontId="19" fillId="0" borderId="0" xfId="42" applyNumberFormat="1" applyFont="1"/>
    <xf numFmtId="164" fontId="19" fillId="0" borderId="0" xfId="0" applyNumberFormat="1" applyFont="1"/>
    <xf numFmtId="165" fontId="0" fillId="0" borderId="0" xfId="0" applyNumberFormat="1"/>
    <xf numFmtId="164" fontId="0" fillId="0" borderId="0" xfId="0" applyNumberFormat="1"/>
    <xf numFmtId="164" fontId="18" fillId="0" borderId="0" xfId="0" applyNumberFormat="1" applyFont="1"/>
    <xf numFmtId="2" fontId="19" fillId="0" borderId="0" xfId="0" applyNumberFormat="1" applyFont="1"/>
    <xf numFmtId="2" fontId="18" fillId="0" borderId="0" xfId="0" applyNumberFormat="1" applyFont="1"/>
    <xf numFmtId="2" fontId="0" fillId="0" borderId="0" xfId="0" applyNumberFormat="1"/>
    <xf numFmtId="1" fontId="19" fillId="0" borderId="0" xfId="0" applyNumberFormat="1" applyFont="1"/>
    <xf numFmtId="1" fontId="0" fillId="0" borderId="0" xfId="0" applyNumberFormat="1"/>
    <xf numFmtId="165" fontId="19" fillId="0" borderId="0" xfId="0" applyNumberFormat="1" applyFont="1"/>
    <xf numFmtId="1" fontId="18" fillId="0" borderId="0" xfId="0" applyNumberFormat="1" applyFont="1"/>
    <xf numFmtId="164" fontId="16" fillId="0" borderId="0" xfId="0" applyNumberFormat="1" applyFont="1"/>
    <xf numFmtId="1" fontId="20" fillId="0" borderId="0" xfId="0" applyNumberFormat="1" applyFont="1" applyAlignment="1">
      <alignment wrapText="1"/>
    </xf>
    <xf numFmtId="164" fontId="22" fillId="0" borderId="0" xfId="0" applyNumberFormat="1" applyFont="1"/>
    <xf numFmtId="165" fontId="18" fillId="0" borderId="0" xfId="0" applyNumberFormat="1" applyFont="1"/>
    <xf numFmtId="1" fontId="22" fillId="0" borderId="0" xfId="0" applyNumberFormat="1" applyFon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8"/>
  <sheetViews>
    <sheetView tabSelected="1" zoomScale="58" workbookViewId="0">
      <pane ySplit="1" topLeftCell="A506" activePane="bottomLeft" state="frozen"/>
      <selection pane="bottomLeft" activeCell="O18" sqref="O18"/>
    </sheetView>
  </sheetViews>
  <sheetFormatPr baseColWidth="10" defaultRowHeight="16" x14ac:dyDescent="0.2"/>
  <cols>
    <col min="1" max="1" width="11.6640625" style="8" bestFit="1" customWidth="1"/>
    <col min="5" max="7" width="10.83203125" style="12"/>
    <col min="8" max="8" width="41.83203125" bestFit="1" customWidth="1"/>
  </cols>
  <sheetData>
    <row r="1" spans="1:13" s="2" customFormat="1" x14ac:dyDescent="0.2">
      <c r="A1" s="6" t="s">
        <v>9</v>
      </c>
      <c r="B1" s="2" t="s">
        <v>25</v>
      </c>
      <c r="C1" s="2" t="s">
        <v>10</v>
      </c>
      <c r="D1" s="2" t="s">
        <v>7</v>
      </c>
      <c r="E1" s="10" t="s">
        <v>26</v>
      </c>
      <c r="F1" s="10" t="s">
        <v>27</v>
      </c>
      <c r="G1" s="10" t="s">
        <v>28</v>
      </c>
      <c r="H1" s="2" t="s">
        <v>22</v>
      </c>
      <c r="I1" s="2" t="s">
        <v>1</v>
      </c>
      <c r="J1" s="2" t="s">
        <v>2</v>
      </c>
      <c r="K1" s="2" t="s">
        <v>3</v>
      </c>
      <c r="L1" s="2" t="s">
        <v>4</v>
      </c>
      <c r="M1" s="2" t="s">
        <v>5</v>
      </c>
    </row>
    <row r="2" spans="1:13" x14ac:dyDescent="0.2">
      <c r="A2" s="9">
        <v>42736</v>
      </c>
      <c r="B2">
        <f>DAY(A2)</f>
        <v>1</v>
      </c>
      <c r="C2">
        <f>MONTH(A2)</f>
        <v>1</v>
      </c>
      <c r="D2">
        <f>YEAR(A2)</f>
        <v>2017</v>
      </c>
      <c r="E2" s="11">
        <v>3.1309999999999998</v>
      </c>
      <c r="F2" s="11">
        <v>101.54900000000001</v>
      </c>
      <c r="G2" s="11">
        <v>27.4</v>
      </c>
      <c r="H2" s="1" t="s">
        <v>0</v>
      </c>
      <c r="I2">
        <v>0.5</v>
      </c>
      <c r="J2" t="s">
        <v>6</v>
      </c>
      <c r="K2">
        <v>24.7</v>
      </c>
      <c r="L2">
        <v>27.7</v>
      </c>
      <c r="M2">
        <f>IF(ISNUMBER(I2), IF(I2&gt;0, 1, 0), "")</f>
        <v>1</v>
      </c>
    </row>
    <row r="3" spans="1:13" x14ac:dyDescent="0.2">
      <c r="A3" s="9">
        <v>42737</v>
      </c>
      <c r="B3">
        <f t="shared" ref="B3:B66" si="0">DAY(A3)</f>
        <v>2</v>
      </c>
      <c r="C3">
        <f t="shared" ref="C3:C66" si="1">MONTH(A3)</f>
        <v>1</v>
      </c>
      <c r="D3">
        <f t="shared" ref="D3:D66" si="2">YEAR(A3)</f>
        <v>2017</v>
      </c>
      <c r="E3" s="11">
        <v>3.1309999999999998</v>
      </c>
      <c r="F3" s="11">
        <v>101.54900000000001</v>
      </c>
      <c r="G3" s="11">
        <v>27.4</v>
      </c>
      <c r="H3" s="1" t="s">
        <v>0</v>
      </c>
      <c r="I3">
        <v>2.2999999999999998</v>
      </c>
      <c r="J3" t="s">
        <v>6</v>
      </c>
      <c r="K3">
        <v>24.9</v>
      </c>
      <c r="L3">
        <v>27.1</v>
      </c>
      <c r="M3">
        <f t="shared" ref="M3:M66" si="3">IF(ISNUMBER(I3), IF(I3&gt;0, 1, 0), "")</f>
        <v>1</v>
      </c>
    </row>
    <row r="4" spans="1:13" x14ac:dyDescent="0.2">
      <c r="A4" s="9">
        <v>42738</v>
      </c>
      <c r="B4">
        <f t="shared" si="0"/>
        <v>3</v>
      </c>
      <c r="C4">
        <f t="shared" si="1"/>
        <v>1</v>
      </c>
      <c r="D4">
        <f t="shared" si="2"/>
        <v>2017</v>
      </c>
      <c r="E4" s="11">
        <v>3.1309999999999998</v>
      </c>
      <c r="F4" s="11">
        <v>101.54900000000001</v>
      </c>
      <c r="G4" s="11">
        <v>27.4</v>
      </c>
      <c r="H4" s="1" t="s">
        <v>0</v>
      </c>
      <c r="I4">
        <v>0</v>
      </c>
      <c r="J4">
        <v>32.299999999999997</v>
      </c>
      <c r="K4" t="s">
        <v>6</v>
      </c>
      <c r="L4">
        <v>26.8</v>
      </c>
      <c r="M4">
        <f t="shared" si="3"/>
        <v>0</v>
      </c>
    </row>
    <row r="5" spans="1:13" x14ac:dyDescent="0.2">
      <c r="A5" s="9">
        <v>42739</v>
      </c>
      <c r="B5">
        <f t="shared" si="0"/>
        <v>4</v>
      </c>
      <c r="C5">
        <f t="shared" si="1"/>
        <v>1</v>
      </c>
      <c r="D5">
        <f t="shared" si="2"/>
        <v>2017</v>
      </c>
      <c r="E5" s="11">
        <v>3.1309999999999998</v>
      </c>
      <c r="F5" s="11">
        <v>101.54900000000001</v>
      </c>
      <c r="G5" s="11">
        <v>27.4</v>
      </c>
      <c r="H5" s="1" t="s">
        <v>0</v>
      </c>
      <c r="I5">
        <v>24.6</v>
      </c>
      <c r="J5">
        <v>31.9</v>
      </c>
      <c r="K5">
        <v>23.3</v>
      </c>
      <c r="L5">
        <v>28.2</v>
      </c>
      <c r="M5">
        <f t="shared" si="3"/>
        <v>1</v>
      </c>
    </row>
    <row r="6" spans="1:13" x14ac:dyDescent="0.2">
      <c r="A6" s="9">
        <v>42740</v>
      </c>
      <c r="B6">
        <f t="shared" si="0"/>
        <v>5</v>
      </c>
      <c r="C6">
        <f t="shared" si="1"/>
        <v>1</v>
      </c>
      <c r="D6">
        <f t="shared" si="2"/>
        <v>2017</v>
      </c>
      <c r="E6" s="11">
        <v>3.1309999999999998</v>
      </c>
      <c r="F6" s="11">
        <v>101.54900000000001</v>
      </c>
      <c r="G6" s="11">
        <v>27.4</v>
      </c>
      <c r="H6" s="1" t="s">
        <v>0</v>
      </c>
      <c r="I6">
        <v>0</v>
      </c>
      <c r="J6">
        <v>32.4</v>
      </c>
      <c r="K6">
        <v>24.3</v>
      </c>
      <c r="L6">
        <v>28.6</v>
      </c>
      <c r="M6">
        <f t="shared" si="3"/>
        <v>0</v>
      </c>
    </row>
    <row r="7" spans="1:13" x14ac:dyDescent="0.2">
      <c r="A7" s="9">
        <v>42741</v>
      </c>
      <c r="B7">
        <f t="shared" si="0"/>
        <v>6</v>
      </c>
      <c r="C7">
        <f t="shared" si="1"/>
        <v>1</v>
      </c>
      <c r="D7">
        <f t="shared" si="2"/>
        <v>2017</v>
      </c>
      <c r="E7" s="11">
        <v>3.1309999999999998</v>
      </c>
      <c r="F7" s="11">
        <v>101.54900000000001</v>
      </c>
      <c r="G7" s="11">
        <v>27.4</v>
      </c>
      <c r="H7" s="1" t="s">
        <v>0</v>
      </c>
      <c r="I7">
        <v>0</v>
      </c>
      <c r="J7" t="s">
        <v>6</v>
      </c>
      <c r="K7">
        <v>25.7</v>
      </c>
      <c r="L7">
        <v>30.1</v>
      </c>
      <c r="M7">
        <f t="shared" si="3"/>
        <v>0</v>
      </c>
    </row>
    <row r="8" spans="1:13" x14ac:dyDescent="0.2">
      <c r="A8" s="9">
        <v>42742</v>
      </c>
      <c r="B8">
        <f t="shared" si="0"/>
        <v>7</v>
      </c>
      <c r="C8">
        <f t="shared" si="1"/>
        <v>1</v>
      </c>
      <c r="D8">
        <f t="shared" si="2"/>
        <v>2017</v>
      </c>
      <c r="E8" s="11">
        <v>3.1309999999999998</v>
      </c>
      <c r="F8" s="11">
        <v>101.54900000000001</v>
      </c>
      <c r="G8" s="11">
        <v>27.4</v>
      </c>
      <c r="H8" s="1" t="s">
        <v>0</v>
      </c>
      <c r="I8">
        <v>0</v>
      </c>
      <c r="J8">
        <v>33.1</v>
      </c>
      <c r="K8">
        <v>26</v>
      </c>
      <c r="L8">
        <v>29.2</v>
      </c>
      <c r="M8">
        <f t="shared" si="3"/>
        <v>0</v>
      </c>
    </row>
    <row r="9" spans="1:13" x14ac:dyDescent="0.2">
      <c r="A9" s="9">
        <v>42743</v>
      </c>
      <c r="B9">
        <f t="shared" si="0"/>
        <v>8</v>
      </c>
      <c r="C9">
        <f t="shared" si="1"/>
        <v>1</v>
      </c>
      <c r="D9">
        <f t="shared" si="2"/>
        <v>2017</v>
      </c>
      <c r="E9" s="11">
        <v>3.1309999999999998</v>
      </c>
      <c r="F9" s="11">
        <v>101.54900000000001</v>
      </c>
      <c r="G9" s="11">
        <v>27.4</v>
      </c>
      <c r="H9" s="1" t="s">
        <v>0</v>
      </c>
      <c r="I9">
        <v>0</v>
      </c>
      <c r="J9">
        <v>34.1</v>
      </c>
      <c r="K9" t="s">
        <v>6</v>
      </c>
      <c r="L9">
        <v>29.1</v>
      </c>
      <c r="M9">
        <f t="shared" si="3"/>
        <v>0</v>
      </c>
    </row>
    <row r="10" spans="1:13" x14ac:dyDescent="0.2">
      <c r="A10" s="9">
        <v>42744</v>
      </c>
      <c r="B10">
        <f t="shared" si="0"/>
        <v>9</v>
      </c>
      <c r="C10">
        <f t="shared" si="1"/>
        <v>1</v>
      </c>
      <c r="D10">
        <f t="shared" si="2"/>
        <v>2017</v>
      </c>
      <c r="E10" s="11">
        <v>3.1309999999999998</v>
      </c>
      <c r="F10" s="11">
        <v>101.54900000000001</v>
      </c>
      <c r="G10" s="11">
        <v>27.4</v>
      </c>
      <c r="H10" s="1" t="s">
        <v>0</v>
      </c>
      <c r="I10">
        <v>0</v>
      </c>
      <c r="J10" t="s">
        <v>6</v>
      </c>
      <c r="K10" t="s">
        <v>6</v>
      </c>
      <c r="L10">
        <v>29.5</v>
      </c>
      <c r="M10">
        <f t="shared" si="3"/>
        <v>0</v>
      </c>
    </row>
    <row r="11" spans="1:13" x14ac:dyDescent="0.2">
      <c r="A11" s="9">
        <v>42745</v>
      </c>
      <c r="B11">
        <f t="shared" si="0"/>
        <v>10</v>
      </c>
      <c r="C11">
        <f t="shared" si="1"/>
        <v>1</v>
      </c>
      <c r="D11">
        <f t="shared" si="2"/>
        <v>2017</v>
      </c>
      <c r="E11" s="11">
        <v>3.1309999999999998</v>
      </c>
      <c r="F11" s="11">
        <v>101.54900000000001</v>
      </c>
      <c r="G11" s="11">
        <v>27.4</v>
      </c>
      <c r="H11" s="1" t="s">
        <v>0</v>
      </c>
      <c r="I11">
        <v>0</v>
      </c>
      <c r="J11" t="s">
        <v>6</v>
      </c>
      <c r="K11">
        <v>24.5</v>
      </c>
      <c r="L11">
        <v>29.7</v>
      </c>
      <c r="M11">
        <f t="shared" si="3"/>
        <v>0</v>
      </c>
    </row>
    <row r="12" spans="1:13" x14ac:dyDescent="0.2">
      <c r="A12" s="9">
        <v>42746</v>
      </c>
      <c r="B12">
        <f t="shared" si="0"/>
        <v>11</v>
      </c>
      <c r="C12">
        <f t="shared" si="1"/>
        <v>1</v>
      </c>
      <c r="D12">
        <f t="shared" si="2"/>
        <v>2017</v>
      </c>
      <c r="E12" s="11">
        <v>3.1309999999999998</v>
      </c>
      <c r="F12" s="11">
        <v>101.54900000000001</v>
      </c>
      <c r="G12" s="11">
        <v>27.4</v>
      </c>
      <c r="H12" s="1" t="s">
        <v>0</v>
      </c>
      <c r="I12">
        <v>0</v>
      </c>
      <c r="J12" t="s">
        <v>6</v>
      </c>
      <c r="K12" t="s">
        <v>6</v>
      </c>
      <c r="L12">
        <v>29.2</v>
      </c>
      <c r="M12">
        <f t="shared" si="3"/>
        <v>0</v>
      </c>
    </row>
    <row r="13" spans="1:13" x14ac:dyDescent="0.2">
      <c r="A13" s="9">
        <v>42747</v>
      </c>
      <c r="B13">
        <f t="shared" si="0"/>
        <v>12</v>
      </c>
      <c r="C13">
        <f t="shared" si="1"/>
        <v>1</v>
      </c>
      <c r="D13">
        <f t="shared" si="2"/>
        <v>2017</v>
      </c>
      <c r="E13" s="11">
        <v>3.1309999999999998</v>
      </c>
      <c r="F13" s="11">
        <v>101.54900000000001</v>
      </c>
      <c r="G13" s="11">
        <v>27.4</v>
      </c>
      <c r="H13" s="1" t="s">
        <v>0</v>
      </c>
      <c r="I13">
        <v>0</v>
      </c>
      <c r="J13">
        <v>33.200000000000003</v>
      </c>
      <c r="K13">
        <v>24.9</v>
      </c>
      <c r="L13">
        <v>29</v>
      </c>
      <c r="M13">
        <f t="shared" si="3"/>
        <v>0</v>
      </c>
    </row>
    <row r="14" spans="1:13" x14ac:dyDescent="0.2">
      <c r="A14" s="9">
        <v>42748</v>
      </c>
      <c r="B14">
        <f t="shared" si="0"/>
        <v>13</v>
      </c>
      <c r="C14">
        <f t="shared" si="1"/>
        <v>1</v>
      </c>
      <c r="D14">
        <f t="shared" si="2"/>
        <v>2017</v>
      </c>
      <c r="E14" s="11">
        <v>3.1309999999999998</v>
      </c>
      <c r="F14" s="11">
        <v>101.54900000000001</v>
      </c>
      <c r="G14" s="11">
        <v>27.4</v>
      </c>
      <c r="H14" s="1" t="s">
        <v>0</v>
      </c>
      <c r="I14">
        <v>0</v>
      </c>
      <c r="J14">
        <v>32.700000000000003</v>
      </c>
      <c r="K14" t="s">
        <v>6</v>
      </c>
      <c r="L14">
        <v>27.2</v>
      </c>
      <c r="M14">
        <f t="shared" si="3"/>
        <v>0</v>
      </c>
    </row>
    <row r="15" spans="1:13" x14ac:dyDescent="0.2">
      <c r="A15" s="9">
        <v>42749</v>
      </c>
      <c r="B15">
        <f t="shared" si="0"/>
        <v>14</v>
      </c>
      <c r="C15">
        <f t="shared" si="1"/>
        <v>1</v>
      </c>
      <c r="D15">
        <f t="shared" si="2"/>
        <v>2017</v>
      </c>
      <c r="E15" s="11">
        <v>3.1309999999999998</v>
      </c>
      <c r="F15" s="11">
        <v>101.54900000000001</v>
      </c>
      <c r="G15" s="11">
        <v>27.4</v>
      </c>
      <c r="H15" s="1" t="s">
        <v>0</v>
      </c>
      <c r="I15">
        <v>0</v>
      </c>
      <c r="J15">
        <v>34.200000000000003</v>
      </c>
      <c r="K15" t="s">
        <v>6</v>
      </c>
      <c r="L15">
        <v>28.6</v>
      </c>
      <c r="M15">
        <f t="shared" si="3"/>
        <v>0</v>
      </c>
    </row>
    <row r="16" spans="1:13" x14ac:dyDescent="0.2">
      <c r="A16" s="9">
        <v>42750</v>
      </c>
      <c r="B16">
        <f t="shared" si="0"/>
        <v>15</v>
      </c>
      <c r="C16">
        <f t="shared" si="1"/>
        <v>1</v>
      </c>
      <c r="D16">
        <f t="shared" si="2"/>
        <v>2017</v>
      </c>
      <c r="E16" s="11">
        <v>3.1309999999999998</v>
      </c>
      <c r="F16" s="11">
        <v>101.54900000000001</v>
      </c>
      <c r="G16" s="11">
        <v>27.4</v>
      </c>
      <c r="H16" s="1" t="s">
        <v>0</v>
      </c>
      <c r="I16">
        <v>0.8</v>
      </c>
      <c r="J16">
        <v>33.799999999999997</v>
      </c>
      <c r="K16" t="s">
        <v>6</v>
      </c>
      <c r="L16">
        <v>28.5</v>
      </c>
      <c r="M16">
        <f t="shared" si="3"/>
        <v>1</v>
      </c>
    </row>
    <row r="17" spans="1:13" x14ac:dyDescent="0.2">
      <c r="A17" s="9">
        <v>42751</v>
      </c>
      <c r="B17">
        <f t="shared" si="0"/>
        <v>16</v>
      </c>
      <c r="C17">
        <f t="shared" si="1"/>
        <v>1</v>
      </c>
      <c r="D17">
        <f t="shared" si="2"/>
        <v>2017</v>
      </c>
      <c r="E17" s="11">
        <v>3.1309999999999998</v>
      </c>
      <c r="F17" s="11">
        <v>101.54900000000001</v>
      </c>
      <c r="G17" s="11">
        <v>27.4</v>
      </c>
      <c r="H17" s="1" t="s">
        <v>0</v>
      </c>
      <c r="I17">
        <v>9.9</v>
      </c>
      <c r="J17">
        <v>32.200000000000003</v>
      </c>
      <c r="K17" t="s">
        <v>6</v>
      </c>
      <c r="L17">
        <v>28</v>
      </c>
      <c r="M17">
        <f t="shared" si="3"/>
        <v>1</v>
      </c>
    </row>
    <row r="18" spans="1:13" x14ac:dyDescent="0.2">
      <c r="A18" s="9">
        <v>42752</v>
      </c>
      <c r="B18">
        <f t="shared" si="0"/>
        <v>17</v>
      </c>
      <c r="C18">
        <f t="shared" si="1"/>
        <v>1</v>
      </c>
      <c r="D18">
        <f t="shared" si="2"/>
        <v>2017</v>
      </c>
      <c r="E18" s="11">
        <v>3.1309999999999998</v>
      </c>
      <c r="F18" s="11">
        <v>101.54900000000001</v>
      </c>
      <c r="G18" s="11">
        <v>27.4</v>
      </c>
      <c r="H18" s="1" t="s">
        <v>0</v>
      </c>
      <c r="I18">
        <v>4.3</v>
      </c>
      <c r="J18">
        <v>33.200000000000003</v>
      </c>
      <c r="K18">
        <v>24.1</v>
      </c>
      <c r="L18">
        <v>27.2</v>
      </c>
      <c r="M18">
        <f t="shared" si="3"/>
        <v>1</v>
      </c>
    </row>
    <row r="19" spans="1:13" x14ac:dyDescent="0.2">
      <c r="A19" s="9">
        <v>42753</v>
      </c>
      <c r="B19">
        <f t="shared" si="0"/>
        <v>18</v>
      </c>
      <c r="C19">
        <f t="shared" si="1"/>
        <v>1</v>
      </c>
      <c r="D19">
        <f t="shared" si="2"/>
        <v>2017</v>
      </c>
      <c r="E19" s="11">
        <v>3.1309999999999998</v>
      </c>
      <c r="F19" s="11">
        <v>101.54900000000001</v>
      </c>
      <c r="G19" s="11">
        <v>27.4</v>
      </c>
      <c r="H19" s="1" t="s">
        <v>0</v>
      </c>
      <c r="I19">
        <v>4.3</v>
      </c>
      <c r="J19">
        <v>33.200000000000003</v>
      </c>
      <c r="K19" t="s">
        <v>6</v>
      </c>
      <c r="L19">
        <v>26.9</v>
      </c>
      <c r="M19">
        <f t="shared" si="3"/>
        <v>1</v>
      </c>
    </row>
    <row r="20" spans="1:13" x14ac:dyDescent="0.2">
      <c r="A20" s="9">
        <v>42754</v>
      </c>
      <c r="B20">
        <f t="shared" si="0"/>
        <v>19</v>
      </c>
      <c r="C20">
        <f t="shared" si="1"/>
        <v>1</v>
      </c>
      <c r="D20">
        <f t="shared" si="2"/>
        <v>2017</v>
      </c>
      <c r="E20" s="11">
        <v>3.1309999999999998</v>
      </c>
      <c r="F20" s="11">
        <v>101.54900000000001</v>
      </c>
      <c r="G20" s="11">
        <v>27.4</v>
      </c>
      <c r="H20" s="1" t="s">
        <v>0</v>
      </c>
      <c r="I20">
        <v>9.6999999999999993</v>
      </c>
      <c r="J20">
        <v>32.299999999999997</v>
      </c>
      <c r="K20">
        <v>24</v>
      </c>
      <c r="L20">
        <v>26.6</v>
      </c>
      <c r="M20">
        <f t="shared" si="3"/>
        <v>1</v>
      </c>
    </row>
    <row r="21" spans="1:13" x14ac:dyDescent="0.2">
      <c r="A21" s="9">
        <v>42755</v>
      </c>
      <c r="B21">
        <f t="shared" si="0"/>
        <v>20</v>
      </c>
      <c r="C21">
        <f t="shared" si="1"/>
        <v>1</v>
      </c>
      <c r="D21">
        <f t="shared" si="2"/>
        <v>2017</v>
      </c>
      <c r="E21" s="11">
        <v>3.1309999999999998</v>
      </c>
      <c r="F21" s="11">
        <v>101.54900000000001</v>
      </c>
      <c r="G21" s="11">
        <v>27.4</v>
      </c>
      <c r="H21" s="1" t="s">
        <v>0</v>
      </c>
      <c r="I21">
        <v>9.6999999999999993</v>
      </c>
      <c r="J21">
        <v>31.8</v>
      </c>
      <c r="K21">
        <v>23.9</v>
      </c>
      <c r="L21">
        <v>26.7</v>
      </c>
      <c r="M21">
        <f t="shared" si="3"/>
        <v>1</v>
      </c>
    </row>
    <row r="22" spans="1:13" x14ac:dyDescent="0.2">
      <c r="A22" s="9">
        <v>42756</v>
      </c>
      <c r="B22">
        <f t="shared" si="0"/>
        <v>21</v>
      </c>
      <c r="C22">
        <f t="shared" si="1"/>
        <v>1</v>
      </c>
      <c r="D22">
        <f t="shared" si="2"/>
        <v>2017</v>
      </c>
      <c r="E22" s="11">
        <v>3.1309999999999998</v>
      </c>
      <c r="F22" s="11">
        <v>101.54900000000001</v>
      </c>
      <c r="G22" s="11">
        <v>27.4</v>
      </c>
      <c r="H22" s="1" t="s">
        <v>0</v>
      </c>
      <c r="I22">
        <v>20.3</v>
      </c>
      <c r="J22" t="s">
        <v>6</v>
      </c>
      <c r="K22" t="s">
        <v>6</v>
      </c>
      <c r="L22">
        <v>26.7</v>
      </c>
      <c r="M22">
        <f t="shared" si="3"/>
        <v>1</v>
      </c>
    </row>
    <row r="23" spans="1:13" x14ac:dyDescent="0.2">
      <c r="A23" s="9">
        <v>42757</v>
      </c>
      <c r="B23">
        <f t="shared" si="0"/>
        <v>22</v>
      </c>
      <c r="C23">
        <f t="shared" si="1"/>
        <v>1</v>
      </c>
      <c r="D23">
        <f t="shared" si="2"/>
        <v>2017</v>
      </c>
      <c r="E23" s="11">
        <v>3.1309999999999998</v>
      </c>
      <c r="F23" s="11">
        <v>101.54900000000001</v>
      </c>
      <c r="G23" s="11">
        <v>27.4</v>
      </c>
      <c r="H23" s="1" t="s">
        <v>0</v>
      </c>
      <c r="I23">
        <v>0</v>
      </c>
      <c r="J23">
        <v>33.700000000000003</v>
      </c>
      <c r="K23">
        <v>23.4</v>
      </c>
      <c r="L23">
        <v>27.7</v>
      </c>
      <c r="M23">
        <f t="shared" si="3"/>
        <v>0</v>
      </c>
    </row>
    <row r="24" spans="1:13" x14ac:dyDescent="0.2">
      <c r="A24" s="9">
        <v>42758</v>
      </c>
      <c r="B24">
        <f t="shared" si="0"/>
        <v>23</v>
      </c>
      <c r="C24">
        <f t="shared" si="1"/>
        <v>1</v>
      </c>
      <c r="D24">
        <f t="shared" si="2"/>
        <v>2017</v>
      </c>
      <c r="E24" s="11">
        <v>3.1309999999999998</v>
      </c>
      <c r="F24" s="11">
        <v>101.54900000000001</v>
      </c>
      <c r="G24" s="11">
        <v>27.4</v>
      </c>
      <c r="H24" s="1" t="s">
        <v>0</v>
      </c>
      <c r="I24">
        <v>2.8</v>
      </c>
      <c r="J24">
        <v>29.1</v>
      </c>
      <c r="K24">
        <v>23.5</v>
      </c>
      <c r="L24">
        <v>25.4</v>
      </c>
      <c r="M24">
        <f t="shared" si="3"/>
        <v>1</v>
      </c>
    </row>
    <row r="25" spans="1:13" x14ac:dyDescent="0.2">
      <c r="A25" s="9">
        <v>42759</v>
      </c>
      <c r="B25">
        <f t="shared" si="0"/>
        <v>24</v>
      </c>
      <c r="C25">
        <f t="shared" si="1"/>
        <v>1</v>
      </c>
      <c r="D25">
        <f t="shared" si="2"/>
        <v>2017</v>
      </c>
      <c r="E25" s="11">
        <v>3.1309999999999998</v>
      </c>
      <c r="F25" s="11">
        <v>101.54900000000001</v>
      </c>
      <c r="G25" s="11">
        <v>27.4</v>
      </c>
      <c r="H25" s="1" t="s">
        <v>0</v>
      </c>
      <c r="I25">
        <v>29.2</v>
      </c>
      <c r="J25">
        <v>24.6</v>
      </c>
      <c r="K25" t="s">
        <v>6</v>
      </c>
      <c r="L25">
        <v>23.6</v>
      </c>
      <c r="M25">
        <f t="shared" si="3"/>
        <v>1</v>
      </c>
    </row>
    <row r="26" spans="1:13" x14ac:dyDescent="0.2">
      <c r="A26" s="9">
        <v>42760</v>
      </c>
      <c r="B26">
        <f t="shared" si="0"/>
        <v>25</v>
      </c>
      <c r="C26">
        <f t="shared" si="1"/>
        <v>1</v>
      </c>
      <c r="D26">
        <f t="shared" si="2"/>
        <v>2017</v>
      </c>
      <c r="E26" s="11">
        <v>3.1309999999999998</v>
      </c>
      <c r="F26" s="11">
        <v>101.54900000000001</v>
      </c>
      <c r="G26" s="11">
        <v>27.4</v>
      </c>
      <c r="H26" s="1" t="s">
        <v>0</v>
      </c>
      <c r="I26">
        <v>16.8</v>
      </c>
      <c r="J26" t="s">
        <v>6</v>
      </c>
      <c r="K26">
        <v>22.6</v>
      </c>
      <c r="L26">
        <v>25.6</v>
      </c>
      <c r="M26">
        <f t="shared" si="3"/>
        <v>1</v>
      </c>
    </row>
    <row r="27" spans="1:13" x14ac:dyDescent="0.2">
      <c r="A27" s="9">
        <v>42761</v>
      </c>
      <c r="B27">
        <f t="shared" si="0"/>
        <v>26</v>
      </c>
      <c r="C27">
        <f t="shared" si="1"/>
        <v>1</v>
      </c>
      <c r="D27">
        <f t="shared" si="2"/>
        <v>2017</v>
      </c>
      <c r="E27" s="11">
        <v>3.1309999999999998</v>
      </c>
      <c r="F27" s="11">
        <v>101.54900000000001</v>
      </c>
      <c r="G27" s="11">
        <v>27.4</v>
      </c>
      <c r="H27" s="1" t="s">
        <v>0</v>
      </c>
      <c r="I27">
        <v>11.7</v>
      </c>
      <c r="J27">
        <v>32.299999999999997</v>
      </c>
      <c r="K27">
        <v>22.9</v>
      </c>
      <c r="L27">
        <v>25.8</v>
      </c>
      <c r="M27">
        <f t="shared" si="3"/>
        <v>1</v>
      </c>
    </row>
    <row r="28" spans="1:13" x14ac:dyDescent="0.2">
      <c r="A28" s="9">
        <v>42762</v>
      </c>
      <c r="B28">
        <f t="shared" si="0"/>
        <v>27</v>
      </c>
      <c r="C28">
        <f t="shared" si="1"/>
        <v>1</v>
      </c>
      <c r="D28">
        <f t="shared" si="2"/>
        <v>2017</v>
      </c>
      <c r="E28" s="11">
        <v>3.1309999999999998</v>
      </c>
      <c r="F28" s="11">
        <v>101.54900000000001</v>
      </c>
      <c r="G28" s="11">
        <v>27.4</v>
      </c>
      <c r="H28" s="1" t="s">
        <v>0</v>
      </c>
      <c r="I28">
        <v>19.8</v>
      </c>
      <c r="J28">
        <v>30.9</v>
      </c>
      <c r="K28">
        <v>23.5</v>
      </c>
      <c r="L28">
        <v>25.6</v>
      </c>
      <c r="M28">
        <f t="shared" si="3"/>
        <v>1</v>
      </c>
    </row>
    <row r="29" spans="1:13" x14ac:dyDescent="0.2">
      <c r="A29" s="9">
        <v>42763</v>
      </c>
      <c r="B29">
        <f t="shared" si="0"/>
        <v>28</v>
      </c>
      <c r="C29">
        <f t="shared" si="1"/>
        <v>1</v>
      </c>
      <c r="D29">
        <f t="shared" si="2"/>
        <v>2017</v>
      </c>
      <c r="E29" s="11">
        <v>3.1309999999999998</v>
      </c>
      <c r="F29" s="11">
        <v>101.54900000000001</v>
      </c>
      <c r="G29" s="11">
        <v>27.4</v>
      </c>
      <c r="H29" s="1" t="s">
        <v>0</v>
      </c>
      <c r="I29">
        <v>7.9</v>
      </c>
      <c r="J29">
        <v>31.1</v>
      </c>
      <c r="K29">
        <v>23.5</v>
      </c>
      <c r="L29">
        <v>26.1</v>
      </c>
      <c r="M29">
        <f t="shared" si="3"/>
        <v>1</v>
      </c>
    </row>
    <row r="30" spans="1:13" x14ac:dyDescent="0.2">
      <c r="A30" s="9">
        <v>42764</v>
      </c>
      <c r="B30">
        <f t="shared" si="0"/>
        <v>29</v>
      </c>
      <c r="C30">
        <f t="shared" si="1"/>
        <v>1</v>
      </c>
      <c r="D30">
        <f t="shared" si="2"/>
        <v>2017</v>
      </c>
      <c r="E30" s="11">
        <v>3.1309999999999998</v>
      </c>
      <c r="F30" s="11">
        <v>101.54900000000001</v>
      </c>
      <c r="G30" s="11">
        <v>27.4</v>
      </c>
      <c r="H30" s="1" t="s">
        <v>0</v>
      </c>
      <c r="I30">
        <v>23.6</v>
      </c>
      <c r="J30">
        <v>31</v>
      </c>
      <c r="K30">
        <v>23.5</v>
      </c>
      <c r="L30">
        <v>27.1</v>
      </c>
      <c r="M30">
        <f t="shared" si="3"/>
        <v>1</v>
      </c>
    </row>
    <row r="31" spans="1:13" x14ac:dyDescent="0.2">
      <c r="A31" s="9">
        <v>42765</v>
      </c>
      <c r="B31">
        <f t="shared" si="0"/>
        <v>30</v>
      </c>
      <c r="C31">
        <f t="shared" si="1"/>
        <v>1</v>
      </c>
      <c r="D31">
        <f t="shared" si="2"/>
        <v>2017</v>
      </c>
      <c r="E31" s="11">
        <v>3.1309999999999998</v>
      </c>
      <c r="F31" s="11">
        <v>101.54900000000001</v>
      </c>
      <c r="G31" s="11">
        <v>27.4</v>
      </c>
      <c r="H31" s="1" t="s">
        <v>0</v>
      </c>
      <c r="I31">
        <v>0</v>
      </c>
      <c r="J31">
        <v>31.6</v>
      </c>
      <c r="K31">
        <v>23.6</v>
      </c>
      <c r="L31">
        <v>26.3</v>
      </c>
      <c r="M31">
        <f t="shared" si="3"/>
        <v>0</v>
      </c>
    </row>
    <row r="32" spans="1:13" x14ac:dyDescent="0.2">
      <c r="A32" s="9">
        <v>42766</v>
      </c>
      <c r="B32">
        <f t="shared" si="0"/>
        <v>31</v>
      </c>
      <c r="C32">
        <f t="shared" si="1"/>
        <v>1</v>
      </c>
      <c r="D32">
        <f t="shared" si="2"/>
        <v>2017</v>
      </c>
      <c r="E32" s="11">
        <v>3.1309999999999998</v>
      </c>
      <c r="F32" s="11">
        <v>101.54900000000001</v>
      </c>
      <c r="G32" s="11">
        <v>27.4</v>
      </c>
      <c r="H32" s="1" t="s">
        <v>0</v>
      </c>
      <c r="I32">
        <v>46.5</v>
      </c>
      <c r="J32" t="s">
        <v>6</v>
      </c>
      <c r="K32">
        <v>23.4</v>
      </c>
      <c r="L32">
        <v>26.5</v>
      </c>
      <c r="M32">
        <f t="shared" si="3"/>
        <v>1</v>
      </c>
    </row>
    <row r="33" spans="1:13" x14ac:dyDescent="0.2">
      <c r="A33" s="9">
        <v>42767</v>
      </c>
      <c r="B33">
        <f t="shared" si="0"/>
        <v>1</v>
      </c>
      <c r="C33">
        <f t="shared" si="1"/>
        <v>2</v>
      </c>
      <c r="D33">
        <f t="shared" si="2"/>
        <v>2017</v>
      </c>
      <c r="E33" s="11">
        <v>3.1309999999999998</v>
      </c>
      <c r="F33" s="11">
        <v>101.54900000000001</v>
      </c>
      <c r="G33" s="11">
        <v>27.4</v>
      </c>
      <c r="H33" s="1" t="s">
        <v>0</v>
      </c>
      <c r="I33">
        <v>0</v>
      </c>
      <c r="J33">
        <v>29.2</v>
      </c>
      <c r="K33" t="s">
        <v>6</v>
      </c>
      <c r="L33">
        <v>26.2</v>
      </c>
      <c r="M33">
        <f t="shared" si="3"/>
        <v>0</v>
      </c>
    </row>
    <row r="34" spans="1:13" x14ac:dyDescent="0.2">
      <c r="A34" s="9">
        <v>42768</v>
      </c>
      <c r="B34">
        <f t="shared" si="0"/>
        <v>2</v>
      </c>
      <c r="C34">
        <f t="shared" si="1"/>
        <v>2</v>
      </c>
      <c r="D34">
        <f t="shared" si="2"/>
        <v>2017</v>
      </c>
      <c r="E34" s="11">
        <v>3.1309999999999998</v>
      </c>
      <c r="F34" s="11">
        <v>101.54900000000001</v>
      </c>
      <c r="G34" s="11">
        <v>27.4</v>
      </c>
      <c r="H34" s="1" t="s">
        <v>0</v>
      </c>
      <c r="I34">
        <v>0.5</v>
      </c>
      <c r="J34">
        <v>30.1</v>
      </c>
      <c r="K34">
        <v>23.7</v>
      </c>
      <c r="L34">
        <v>26.7</v>
      </c>
      <c r="M34">
        <f t="shared" si="3"/>
        <v>1</v>
      </c>
    </row>
    <row r="35" spans="1:13" x14ac:dyDescent="0.2">
      <c r="A35" s="9">
        <v>42769</v>
      </c>
      <c r="B35">
        <f t="shared" si="0"/>
        <v>3</v>
      </c>
      <c r="C35">
        <f t="shared" si="1"/>
        <v>2</v>
      </c>
      <c r="D35">
        <f t="shared" si="2"/>
        <v>2017</v>
      </c>
      <c r="E35" s="11">
        <v>3.1309999999999998</v>
      </c>
      <c r="F35" s="11">
        <v>101.54900000000001</v>
      </c>
      <c r="G35" s="11">
        <v>27.4</v>
      </c>
      <c r="H35" s="1" t="s">
        <v>0</v>
      </c>
      <c r="I35">
        <v>0</v>
      </c>
      <c r="J35">
        <v>33.6</v>
      </c>
      <c r="K35">
        <v>23.6</v>
      </c>
      <c r="L35">
        <v>29.1</v>
      </c>
      <c r="M35">
        <f t="shared" si="3"/>
        <v>0</v>
      </c>
    </row>
    <row r="36" spans="1:13" x14ac:dyDescent="0.2">
      <c r="A36" s="9">
        <v>42770</v>
      </c>
      <c r="B36">
        <f t="shared" si="0"/>
        <v>4</v>
      </c>
      <c r="C36">
        <f t="shared" si="1"/>
        <v>2</v>
      </c>
      <c r="D36">
        <f t="shared" si="2"/>
        <v>2017</v>
      </c>
      <c r="E36" s="11">
        <v>3.1309999999999998</v>
      </c>
      <c r="F36" s="11">
        <v>101.54900000000001</v>
      </c>
      <c r="G36" s="11">
        <v>27.4</v>
      </c>
      <c r="H36" s="1" t="s">
        <v>0</v>
      </c>
      <c r="I36" t="s">
        <v>6</v>
      </c>
      <c r="J36">
        <v>34.1</v>
      </c>
      <c r="K36" t="s">
        <v>6</v>
      </c>
      <c r="L36">
        <v>29.2</v>
      </c>
      <c r="M36" t="str">
        <f t="shared" si="3"/>
        <v/>
      </c>
    </row>
    <row r="37" spans="1:13" x14ac:dyDescent="0.2">
      <c r="A37" s="9">
        <v>42771</v>
      </c>
      <c r="B37">
        <f t="shared" si="0"/>
        <v>5</v>
      </c>
      <c r="C37">
        <f t="shared" si="1"/>
        <v>2</v>
      </c>
      <c r="D37">
        <f t="shared" si="2"/>
        <v>2017</v>
      </c>
      <c r="E37" s="11">
        <v>3.1309999999999998</v>
      </c>
      <c r="F37" s="11">
        <v>101.54900000000001</v>
      </c>
      <c r="G37" s="11">
        <v>27.4</v>
      </c>
      <c r="H37" s="1" t="s">
        <v>0</v>
      </c>
      <c r="I37">
        <v>0</v>
      </c>
      <c r="J37">
        <v>34.1</v>
      </c>
      <c r="K37">
        <v>25.3</v>
      </c>
      <c r="L37">
        <v>28.9</v>
      </c>
      <c r="M37">
        <f t="shared" si="3"/>
        <v>0</v>
      </c>
    </row>
    <row r="38" spans="1:13" x14ac:dyDescent="0.2">
      <c r="A38" s="9">
        <v>42772</v>
      </c>
      <c r="B38">
        <f t="shared" si="0"/>
        <v>6</v>
      </c>
      <c r="C38">
        <f t="shared" si="1"/>
        <v>2</v>
      </c>
      <c r="D38">
        <f t="shared" si="2"/>
        <v>2017</v>
      </c>
      <c r="E38" s="11">
        <v>3.1309999999999998</v>
      </c>
      <c r="F38" s="11">
        <v>101.54900000000001</v>
      </c>
      <c r="G38" s="11">
        <v>27.4</v>
      </c>
      <c r="H38" s="1" t="s">
        <v>0</v>
      </c>
      <c r="I38">
        <v>0</v>
      </c>
      <c r="J38">
        <v>33.799999999999997</v>
      </c>
      <c r="K38">
        <v>25.6</v>
      </c>
      <c r="L38">
        <v>28.9</v>
      </c>
      <c r="M38">
        <f t="shared" si="3"/>
        <v>0</v>
      </c>
    </row>
    <row r="39" spans="1:13" x14ac:dyDescent="0.2">
      <c r="A39" s="9">
        <v>42773</v>
      </c>
      <c r="B39">
        <f t="shared" si="0"/>
        <v>7</v>
      </c>
      <c r="C39">
        <f t="shared" si="1"/>
        <v>2</v>
      </c>
      <c r="D39">
        <f t="shared" si="2"/>
        <v>2017</v>
      </c>
      <c r="E39" s="11">
        <v>3.1309999999999998</v>
      </c>
      <c r="F39" s="11">
        <v>101.54900000000001</v>
      </c>
      <c r="G39" s="11">
        <v>27.4</v>
      </c>
      <c r="H39" s="1" t="s">
        <v>0</v>
      </c>
      <c r="I39">
        <v>0</v>
      </c>
      <c r="J39" t="s">
        <v>6</v>
      </c>
      <c r="K39" t="s">
        <v>6</v>
      </c>
      <c r="L39">
        <v>28.2</v>
      </c>
      <c r="M39">
        <f t="shared" si="3"/>
        <v>0</v>
      </c>
    </row>
    <row r="40" spans="1:13" x14ac:dyDescent="0.2">
      <c r="A40" s="9">
        <v>42774</v>
      </c>
      <c r="B40">
        <f t="shared" si="0"/>
        <v>8</v>
      </c>
      <c r="C40">
        <f t="shared" si="1"/>
        <v>2</v>
      </c>
      <c r="D40">
        <f t="shared" si="2"/>
        <v>2017</v>
      </c>
      <c r="E40" s="11">
        <v>3.1309999999999998</v>
      </c>
      <c r="F40" s="11">
        <v>101.54900000000001</v>
      </c>
      <c r="G40" s="11">
        <v>27.4</v>
      </c>
      <c r="H40" s="1" t="s">
        <v>0</v>
      </c>
      <c r="I40">
        <v>13.2</v>
      </c>
      <c r="J40" t="s">
        <v>6</v>
      </c>
      <c r="K40" t="s">
        <v>6</v>
      </c>
      <c r="L40">
        <v>27.9</v>
      </c>
      <c r="M40">
        <f t="shared" si="3"/>
        <v>1</v>
      </c>
    </row>
    <row r="41" spans="1:13" x14ac:dyDescent="0.2">
      <c r="A41" s="9">
        <v>42775</v>
      </c>
      <c r="B41">
        <f t="shared" si="0"/>
        <v>9</v>
      </c>
      <c r="C41">
        <f t="shared" si="1"/>
        <v>2</v>
      </c>
      <c r="D41">
        <f t="shared" si="2"/>
        <v>2017</v>
      </c>
      <c r="E41" s="11">
        <v>3.1309999999999998</v>
      </c>
      <c r="F41" s="11">
        <v>101.54900000000001</v>
      </c>
      <c r="G41" s="11">
        <v>27.4</v>
      </c>
      <c r="H41" s="1" t="s">
        <v>0</v>
      </c>
      <c r="I41">
        <v>0.3</v>
      </c>
      <c r="J41">
        <v>34.700000000000003</v>
      </c>
      <c r="K41">
        <v>24.4</v>
      </c>
      <c r="L41">
        <v>28.9</v>
      </c>
      <c r="M41">
        <f t="shared" si="3"/>
        <v>1</v>
      </c>
    </row>
    <row r="42" spans="1:13" x14ac:dyDescent="0.2">
      <c r="A42" s="9">
        <v>42776</v>
      </c>
      <c r="B42">
        <f t="shared" si="0"/>
        <v>10</v>
      </c>
      <c r="C42">
        <f t="shared" si="1"/>
        <v>2</v>
      </c>
      <c r="D42">
        <f t="shared" si="2"/>
        <v>2017</v>
      </c>
      <c r="E42" s="11">
        <v>3.1309999999999998</v>
      </c>
      <c r="F42" s="11">
        <v>101.54900000000001</v>
      </c>
      <c r="G42" s="11">
        <v>27.4</v>
      </c>
      <c r="H42" s="1" t="s">
        <v>0</v>
      </c>
      <c r="I42">
        <v>0</v>
      </c>
      <c r="J42">
        <v>34.700000000000003</v>
      </c>
      <c r="K42">
        <v>24.7</v>
      </c>
      <c r="L42">
        <v>29.2</v>
      </c>
      <c r="M42">
        <f t="shared" si="3"/>
        <v>0</v>
      </c>
    </row>
    <row r="43" spans="1:13" x14ac:dyDescent="0.2">
      <c r="A43" s="9">
        <v>42777</v>
      </c>
      <c r="B43">
        <f t="shared" si="0"/>
        <v>11</v>
      </c>
      <c r="C43">
        <f t="shared" si="1"/>
        <v>2</v>
      </c>
      <c r="D43">
        <f t="shared" si="2"/>
        <v>2017</v>
      </c>
      <c r="E43" s="11">
        <v>3.1309999999999998</v>
      </c>
      <c r="F43" s="11">
        <v>101.54900000000001</v>
      </c>
      <c r="G43" s="11">
        <v>27.4</v>
      </c>
      <c r="H43" s="1" t="s">
        <v>0</v>
      </c>
      <c r="I43">
        <v>0</v>
      </c>
      <c r="J43">
        <v>33.6</v>
      </c>
      <c r="K43">
        <v>24.8</v>
      </c>
      <c r="L43">
        <v>28.7</v>
      </c>
      <c r="M43">
        <f t="shared" si="3"/>
        <v>0</v>
      </c>
    </row>
    <row r="44" spans="1:13" x14ac:dyDescent="0.2">
      <c r="A44" s="9">
        <v>42778</v>
      </c>
      <c r="B44">
        <f t="shared" si="0"/>
        <v>12</v>
      </c>
      <c r="C44">
        <f t="shared" si="1"/>
        <v>2</v>
      </c>
      <c r="D44">
        <f t="shared" si="2"/>
        <v>2017</v>
      </c>
      <c r="E44" s="11">
        <v>3.1309999999999998</v>
      </c>
      <c r="F44" s="11">
        <v>101.54900000000001</v>
      </c>
      <c r="G44" s="11">
        <v>27.4</v>
      </c>
      <c r="H44" s="1" t="s">
        <v>0</v>
      </c>
      <c r="I44">
        <v>2.2999999999999998</v>
      </c>
      <c r="J44">
        <v>33.299999999999997</v>
      </c>
      <c r="K44">
        <v>24.1</v>
      </c>
      <c r="L44">
        <v>28.9</v>
      </c>
      <c r="M44">
        <f t="shared" si="3"/>
        <v>1</v>
      </c>
    </row>
    <row r="45" spans="1:13" x14ac:dyDescent="0.2">
      <c r="A45" s="9">
        <v>42779</v>
      </c>
      <c r="B45">
        <f t="shared" si="0"/>
        <v>13</v>
      </c>
      <c r="C45">
        <f t="shared" si="1"/>
        <v>2</v>
      </c>
      <c r="D45">
        <f t="shared" si="2"/>
        <v>2017</v>
      </c>
      <c r="E45" s="11">
        <v>3.1309999999999998</v>
      </c>
      <c r="F45" s="11">
        <v>101.54900000000001</v>
      </c>
      <c r="G45" s="11">
        <v>27.4</v>
      </c>
      <c r="H45" s="1" t="s">
        <v>0</v>
      </c>
      <c r="I45">
        <v>0</v>
      </c>
      <c r="J45">
        <v>33</v>
      </c>
      <c r="K45" t="s">
        <v>6</v>
      </c>
      <c r="L45">
        <v>28.1</v>
      </c>
      <c r="M45">
        <f t="shared" si="3"/>
        <v>0</v>
      </c>
    </row>
    <row r="46" spans="1:13" x14ac:dyDescent="0.2">
      <c r="A46" s="9">
        <v>42780</v>
      </c>
      <c r="B46">
        <f t="shared" si="0"/>
        <v>14</v>
      </c>
      <c r="C46">
        <f t="shared" si="1"/>
        <v>2</v>
      </c>
      <c r="D46">
        <f t="shared" si="2"/>
        <v>2017</v>
      </c>
      <c r="E46" s="11">
        <v>3.1309999999999998</v>
      </c>
      <c r="F46" s="11">
        <v>101.54900000000001</v>
      </c>
      <c r="G46" s="11">
        <v>27.4</v>
      </c>
      <c r="H46" s="1" t="s">
        <v>0</v>
      </c>
      <c r="I46">
        <v>0.5</v>
      </c>
      <c r="J46">
        <v>32.9</v>
      </c>
      <c r="K46">
        <v>23.9</v>
      </c>
      <c r="L46">
        <v>28</v>
      </c>
      <c r="M46">
        <f t="shared" si="3"/>
        <v>1</v>
      </c>
    </row>
    <row r="47" spans="1:13" x14ac:dyDescent="0.2">
      <c r="A47" s="9">
        <v>42781</v>
      </c>
      <c r="B47">
        <f t="shared" si="0"/>
        <v>15</v>
      </c>
      <c r="C47">
        <f t="shared" si="1"/>
        <v>2</v>
      </c>
      <c r="D47">
        <f t="shared" si="2"/>
        <v>2017</v>
      </c>
      <c r="E47" s="11">
        <v>3.1309999999999998</v>
      </c>
      <c r="F47" s="11">
        <v>101.54900000000001</v>
      </c>
      <c r="G47" s="11">
        <v>27.4</v>
      </c>
      <c r="H47" s="1" t="s">
        <v>0</v>
      </c>
      <c r="I47">
        <v>3</v>
      </c>
      <c r="J47">
        <v>32.799999999999997</v>
      </c>
      <c r="K47">
        <v>24.2</v>
      </c>
      <c r="L47">
        <v>28.4</v>
      </c>
      <c r="M47">
        <f t="shared" si="3"/>
        <v>1</v>
      </c>
    </row>
    <row r="48" spans="1:13" x14ac:dyDescent="0.2">
      <c r="A48" s="9">
        <v>42782</v>
      </c>
      <c r="B48">
        <f t="shared" si="0"/>
        <v>16</v>
      </c>
      <c r="C48">
        <f t="shared" si="1"/>
        <v>2</v>
      </c>
      <c r="D48">
        <f t="shared" si="2"/>
        <v>2017</v>
      </c>
      <c r="E48" s="11">
        <v>3.1309999999999998</v>
      </c>
      <c r="F48" s="11">
        <v>101.54900000000001</v>
      </c>
      <c r="G48" s="11">
        <v>27.4</v>
      </c>
      <c r="H48" s="1" t="s">
        <v>0</v>
      </c>
      <c r="I48">
        <v>0</v>
      </c>
      <c r="J48">
        <v>33.1</v>
      </c>
      <c r="K48" t="s">
        <v>6</v>
      </c>
      <c r="L48">
        <v>28.4</v>
      </c>
      <c r="M48">
        <f t="shared" si="3"/>
        <v>0</v>
      </c>
    </row>
    <row r="49" spans="1:13" x14ac:dyDescent="0.2">
      <c r="A49" s="9">
        <v>42783</v>
      </c>
      <c r="B49">
        <f t="shared" si="0"/>
        <v>17</v>
      </c>
      <c r="C49">
        <f t="shared" si="1"/>
        <v>2</v>
      </c>
      <c r="D49">
        <f t="shared" si="2"/>
        <v>2017</v>
      </c>
      <c r="E49" s="11">
        <v>3.1309999999999998</v>
      </c>
      <c r="F49" s="11">
        <v>101.54900000000001</v>
      </c>
      <c r="G49" s="11">
        <v>27.4</v>
      </c>
      <c r="H49" s="1" t="s">
        <v>0</v>
      </c>
      <c r="I49">
        <v>0</v>
      </c>
      <c r="J49" t="s">
        <v>6</v>
      </c>
      <c r="K49">
        <v>24.3</v>
      </c>
      <c r="L49">
        <v>27.9</v>
      </c>
      <c r="M49">
        <f t="shared" si="3"/>
        <v>0</v>
      </c>
    </row>
    <row r="50" spans="1:13" x14ac:dyDescent="0.2">
      <c r="A50" s="9">
        <v>42784</v>
      </c>
      <c r="B50">
        <f t="shared" si="0"/>
        <v>18</v>
      </c>
      <c r="C50">
        <f t="shared" si="1"/>
        <v>2</v>
      </c>
      <c r="D50">
        <f t="shared" si="2"/>
        <v>2017</v>
      </c>
      <c r="E50" s="11">
        <v>3.1309999999999998</v>
      </c>
      <c r="F50" s="11">
        <v>101.54900000000001</v>
      </c>
      <c r="G50" s="11">
        <v>27.4</v>
      </c>
      <c r="H50" s="1" t="s">
        <v>0</v>
      </c>
      <c r="I50">
        <v>2.2999999999999998</v>
      </c>
      <c r="J50">
        <v>35</v>
      </c>
      <c r="K50" t="s">
        <v>6</v>
      </c>
      <c r="L50">
        <v>29</v>
      </c>
      <c r="M50">
        <f t="shared" si="3"/>
        <v>1</v>
      </c>
    </row>
    <row r="51" spans="1:13" x14ac:dyDescent="0.2">
      <c r="A51" s="9">
        <v>42785</v>
      </c>
      <c r="B51">
        <f t="shared" si="0"/>
        <v>19</v>
      </c>
      <c r="C51">
        <f t="shared" si="1"/>
        <v>2</v>
      </c>
      <c r="D51">
        <f t="shared" si="2"/>
        <v>2017</v>
      </c>
      <c r="E51" s="11">
        <v>3.1309999999999998</v>
      </c>
      <c r="F51" s="11">
        <v>101.54900000000001</v>
      </c>
      <c r="G51" s="11">
        <v>27.4</v>
      </c>
      <c r="H51" s="1" t="s">
        <v>0</v>
      </c>
      <c r="I51">
        <v>0</v>
      </c>
      <c r="J51">
        <v>33.6</v>
      </c>
      <c r="K51">
        <v>24.3</v>
      </c>
      <c r="L51">
        <v>28.3</v>
      </c>
      <c r="M51">
        <f t="shared" si="3"/>
        <v>0</v>
      </c>
    </row>
    <row r="52" spans="1:13" x14ac:dyDescent="0.2">
      <c r="A52" s="9">
        <v>42786</v>
      </c>
      <c r="B52">
        <f t="shared" si="0"/>
        <v>20</v>
      </c>
      <c r="C52">
        <f t="shared" si="1"/>
        <v>2</v>
      </c>
      <c r="D52">
        <f t="shared" si="2"/>
        <v>2017</v>
      </c>
      <c r="E52" s="11">
        <v>3.1309999999999998</v>
      </c>
      <c r="F52" s="11">
        <v>101.54900000000001</v>
      </c>
      <c r="G52" s="11">
        <v>27.4</v>
      </c>
      <c r="H52" s="1" t="s">
        <v>0</v>
      </c>
      <c r="I52">
        <v>2.2999999999999998</v>
      </c>
      <c r="J52">
        <v>34.700000000000003</v>
      </c>
      <c r="K52">
        <v>25</v>
      </c>
      <c r="L52">
        <v>28.6</v>
      </c>
      <c r="M52">
        <f t="shared" si="3"/>
        <v>1</v>
      </c>
    </row>
    <row r="53" spans="1:13" x14ac:dyDescent="0.2">
      <c r="A53" s="9">
        <v>42787</v>
      </c>
      <c r="B53">
        <f t="shared" si="0"/>
        <v>21</v>
      </c>
      <c r="C53">
        <f t="shared" si="1"/>
        <v>2</v>
      </c>
      <c r="D53">
        <f t="shared" si="2"/>
        <v>2017</v>
      </c>
      <c r="E53" s="11">
        <v>3.1309999999999998</v>
      </c>
      <c r="F53" s="11">
        <v>101.54900000000001</v>
      </c>
      <c r="G53" s="11">
        <v>27.4</v>
      </c>
      <c r="H53" s="1" t="s">
        <v>0</v>
      </c>
      <c r="I53">
        <v>1.3</v>
      </c>
      <c r="J53">
        <v>32.200000000000003</v>
      </c>
      <c r="K53" t="s">
        <v>6</v>
      </c>
      <c r="L53">
        <v>27.9</v>
      </c>
      <c r="M53">
        <f t="shared" si="3"/>
        <v>1</v>
      </c>
    </row>
    <row r="54" spans="1:13" x14ac:dyDescent="0.2">
      <c r="A54" s="9">
        <v>42788</v>
      </c>
      <c r="B54">
        <f t="shared" si="0"/>
        <v>22</v>
      </c>
      <c r="C54">
        <f t="shared" si="1"/>
        <v>2</v>
      </c>
      <c r="D54">
        <f t="shared" si="2"/>
        <v>2017</v>
      </c>
      <c r="E54" s="11">
        <v>3.1309999999999998</v>
      </c>
      <c r="F54" s="11">
        <v>101.54900000000001</v>
      </c>
      <c r="G54" s="11">
        <v>27.4</v>
      </c>
      <c r="H54" s="1" t="s">
        <v>0</v>
      </c>
      <c r="I54">
        <v>0</v>
      </c>
      <c r="J54">
        <v>33.6</v>
      </c>
      <c r="K54" t="s">
        <v>6</v>
      </c>
      <c r="L54">
        <v>28.6</v>
      </c>
      <c r="M54">
        <f t="shared" si="3"/>
        <v>0</v>
      </c>
    </row>
    <row r="55" spans="1:13" x14ac:dyDescent="0.2">
      <c r="A55" s="9">
        <v>42789</v>
      </c>
      <c r="B55">
        <f t="shared" si="0"/>
        <v>23</v>
      </c>
      <c r="C55">
        <f t="shared" si="1"/>
        <v>2</v>
      </c>
      <c r="D55">
        <f t="shared" si="2"/>
        <v>2017</v>
      </c>
      <c r="E55" s="11">
        <v>3.1309999999999998</v>
      </c>
      <c r="F55" s="11">
        <v>101.54900000000001</v>
      </c>
      <c r="G55" s="11">
        <v>27.4</v>
      </c>
      <c r="H55" s="1" t="s">
        <v>0</v>
      </c>
      <c r="I55">
        <v>0</v>
      </c>
      <c r="J55" t="s">
        <v>6</v>
      </c>
      <c r="K55" t="s">
        <v>6</v>
      </c>
      <c r="L55">
        <v>27.1</v>
      </c>
      <c r="M55">
        <f t="shared" si="3"/>
        <v>0</v>
      </c>
    </row>
    <row r="56" spans="1:13" x14ac:dyDescent="0.2">
      <c r="A56" s="9">
        <v>42790</v>
      </c>
      <c r="B56">
        <f t="shared" si="0"/>
        <v>24</v>
      </c>
      <c r="C56">
        <f t="shared" si="1"/>
        <v>2</v>
      </c>
      <c r="D56">
        <f t="shared" si="2"/>
        <v>2017</v>
      </c>
      <c r="E56" s="11">
        <v>3.1309999999999998</v>
      </c>
      <c r="F56" s="11">
        <v>101.54900000000001</v>
      </c>
      <c r="G56" s="11">
        <v>27.4</v>
      </c>
      <c r="H56" s="1" t="s">
        <v>0</v>
      </c>
      <c r="I56">
        <v>42.7</v>
      </c>
      <c r="J56" t="s">
        <v>6</v>
      </c>
      <c r="K56" t="s">
        <v>6</v>
      </c>
      <c r="L56">
        <v>26.7</v>
      </c>
      <c r="M56">
        <f t="shared" si="3"/>
        <v>1</v>
      </c>
    </row>
    <row r="57" spans="1:13" x14ac:dyDescent="0.2">
      <c r="A57" s="9">
        <v>42791</v>
      </c>
      <c r="B57">
        <f t="shared" si="0"/>
        <v>25</v>
      </c>
      <c r="C57">
        <f t="shared" si="1"/>
        <v>2</v>
      </c>
      <c r="D57">
        <f t="shared" si="2"/>
        <v>2017</v>
      </c>
      <c r="E57" s="11">
        <v>3.1309999999999998</v>
      </c>
      <c r="F57" s="11">
        <v>101.54900000000001</v>
      </c>
      <c r="G57" s="11">
        <v>27.4</v>
      </c>
      <c r="H57" s="1" t="s">
        <v>0</v>
      </c>
      <c r="I57">
        <v>8.4</v>
      </c>
      <c r="J57" t="s">
        <v>6</v>
      </c>
      <c r="K57">
        <v>23.7</v>
      </c>
      <c r="L57">
        <v>27.3</v>
      </c>
      <c r="M57">
        <f t="shared" si="3"/>
        <v>1</v>
      </c>
    </row>
    <row r="58" spans="1:13" x14ac:dyDescent="0.2">
      <c r="A58" s="9">
        <v>42792</v>
      </c>
      <c r="B58">
        <f t="shared" si="0"/>
        <v>26</v>
      </c>
      <c r="C58">
        <f t="shared" si="1"/>
        <v>2</v>
      </c>
      <c r="D58">
        <f t="shared" si="2"/>
        <v>2017</v>
      </c>
      <c r="E58" s="11">
        <v>3.1309999999999998</v>
      </c>
      <c r="F58" s="11">
        <v>101.54900000000001</v>
      </c>
      <c r="G58" s="11">
        <v>27.4</v>
      </c>
      <c r="H58" s="1" t="s">
        <v>0</v>
      </c>
      <c r="I58">
        <v>12.7</v>
      </c>
      <c r="J58">
        <v>33</v>
      </c>
      <c r="K58">
        <v>24</v>
      </c>
      <c r="L58">
        <v>28.1</v>
      </c>
      <c r="M58">
        <f t="shared" si="3"/>
        <v>1</v>
      </c>
    </row>
    <row r="59" spans="1:13" x14ac:dyDescent="0.2">
      <c r="A59" s="9">
        <v>42793</v>
      </c>
      <c r="B59">
        <f t="shared" si="0"/>
        <v>27</v>
      </c>
      <c r="C59">
        <f t="shared" si="1"/>
        <v>2</v>
      </c>
      <c r="D59">
        <f t="shared" si="2"/>
        <v>2017</v>
      </c>
      <c r="E59" s="11">
        <v>3.1309999999999998</v>
      </c>
      <c r="F59" s="11">
        <v>101.54900000000001</v>
      </c>
      <c r="G59" s="11">
        <v>27.4</v>
      </c>
      <c r="H59" s="1" t="s">
        <v>0</v>
      </c>
      <c r="I59">
        <v>0.5</v>
      </c>
      <c r="J59" t="s">
        <v>6</v>
      </c>
      <c r="K59" t="s">
        <v>6</v>
      </c>
      <c r="L59">
        <v>26.3</v>
      </c>
      <c r="M59">
        <f t="shared" si="3"/>
        <v>1</v>
      </c>
    </row>
    <row r="60" spans="1:13" x14ac:dyDescent="0.2">
      <c r="A60" s="9">
        <v>42794</v>
      </c>
      <c r="B60">
        <f t="shared" si="0"/>
        <v>28</v>
      </c>
      <c r="C60">
        <f t="shared" si="1"/>
        <v>2</v>
      </c>
      <c r="D60">
        <f t="shared" si="2"/>
        <v>2017</v>
      </c>
      <c r="E60" s="11">
        <v>3.1309999999999998</v>
      </c>
      <c r="F60" s="11">
        <v>101.54900000000001</v>
      </c>
      <c r="G60" s="11">
        <v>27.4</v>
      </c>
      <c r="H60" s="1" t="s">
        <v>0</v>
      </c>
      <c r="I60">
        <v>16.5</v>
      </c>
      <c r="J60">
        <v>32.700000000000003</v>
      </c>
      <c r="K60" t="s">
        <v>6</v>
      </c>
      <c r="L60">
        <v>26.8</v>
      </c>
      <c r="M60">
        <f t="shared" si="3"/>
        <v>1</v>
      </c>
    </row>
    <row r="61" spans="1:13" x14ac:dyDescent="0.2">
      <c r="A61" s="9">
        <v>42795</v>
      </c>
      <c r="B61">
        <f t="shared" si="0"/>
        <v>1</v>
      </c>
      <c r="C61">
        <f t="shared" si="1"/>
        <v>3</v>
      </c>
      <c r="D61">
        <f t="shared" si="2"/>
        <v>2017</v>
      </c>
      <c r="E61" s="11">
        <v>3.1309999999999998</v>
      </c>
      <c r="F61" s="11">
        <v>101.54900000000001</v>
      </c>
      <c r="G61" s="11">
        <v>27.4</v>
      </c>
      <c r="H61" s="1" t="s">
        <v>0</v>
      </c>
      <c r="I61">
        <v>2</v>
      </c>
      <c r="J61">
        <v>30.5</v>
      </c>
      <c r="K61" t="s">
        <v>6</v>
      </c>
      <c r="L61">
        <v>26.9</v>
      </c>
      <c r="M61">
        <f t="shared" si="3"/>
        <v>1</v>
      </c>
    </row>
    <row r="62" spans="1:13" x14ac:dyDescent="0.2">
      <c r="A62" s="9">
        <v>42796</v>
      </c>
      <c r="B62">
        <f t="shared" si="0"/>
        <v>2</v>
      </c>
      <c r="C62">
        <f t="shared" si="1"/>
        <v>3</v>
      </c>
      <c r="D62">
        <f t="shared" si="2"/>
        <v>2017</v>
      </c>
      <c r="E62" s="11">
        <v>3.1309999999999998</v>
      </c>
      <c r="F62" s="11">
        <v>101.54900000000001</v>
      </c>
      <c r="G62" s="11">
        <v>27.4</v>
      </c>
      <c r="H62" s="1" t="s">
        <v>0</v>
      </c>
      <c r="I62">
        <v>0</v>
      </c>
      <c r="J62" t="s">
        <v>6</v>
      </c>
      <c r="K62" t="s">
        <v>6</v>
      </c>
      <c r="L62">
        <v>27.1</v>
      </c>
      <c r="M62">
        <f t="shared" si="3"/>
        <v>0</v>
      </c>
    </row>
    <row r="63" spans="1:13" x14ac:dyDescent="0.2">
      <c r="A63" s="9">
        <v>42797</v>
      </c>
      <c r="B63">
        <f t="shared" si="0"/>
        <v>3</v>
      </c>
      <c r="C63">
        <f t="shared" si="1"/>
        <v>3</v>
      </c>
      <c r="D63">
        <f t="shared" si="2"/>
        <v>2017</v>
      </c>
      <c r="E63" s="11">
        <v>3.1309999999999998</v>
      </c>
      <c r="F63" s="11">
        <v>101.54900000000001</v>
      </c>
      <c r="G63" s="11">
        <v>27.4</v>
      </c>
      <c r="H63" s="1" t="s">
        <v>0</v>
      </c>
      <c r="I63">
        <v>0.3</v>
      </c>
      <c r="J63">
        <v>32.1</v>
      </c>
      <c r="K63" t="s">
        <v>6</v>
      </c>
      <c r="L63">
        <v>27.4</v>
      </c>
      <c r="M63">
        <f t="shared" si="3"/>
        <v>1</v>
      </c>
    </row>
    <row r="64" spans="1:13" x14ac:dyDescent="0.2">
      <c r="A64" s="9">
        <v>42798</v>
      </c>
      <c r="B64">
        <f t="shared" si="0"/>
        <v>4</v>
      </c>
      <c r="C64">
        <f t="shared" si="1"/>
        <v>3</v>
      </c>
      <c r="D64">
        <f t="shared" si="2"/>
        <v>2017</v>
      </c>
      <c r="E64" s="11">
        <v>3.1309999999999998</v>
      </c>
      <c r="F64" s="11">
        <v>101.54900000000001</v>
      </c>
      <c r="G64" s="11">
        <v>27.4</v>
      </c>
      <c r="H64" s="1" t="s">
        <v>0</v>
      </c>
      <c r="I64">
        <v>0</v>
      </c>
      <c r="J64" t="s">
        <v>6</v>
      </c>
      <c r="K64">
        <v>23.8</v>
      </c>
      <c r="L64">
        <v>28.4</v>
      </c>
      <c r="M64">
        <f t="shared" si="3"/>
        <v>0</v>
      </c>
    </row>
    <row r="65" spans="1:13" x14ac:dyDescent="0.2">
      <c r="A65" s="9">
        <v>42799</v>
      </c>
      <c r="B65">
        <f t="shared" si="0"/>
        <v>5</v>
      </c>
      <c r="C65">
        <f t="shared" si="1"/>
        <v>3</v>
      </c>
      <c r="D65">
        <f t="shared" si="2"/>
        <v>2017</v>
      </c>
      <c r="E65" s="11">
        <v>3.1309999999999998</v>
      </c>
      <c r="F65" s="11">
        <v>101.54900000000001</v>
      </c>
      <c r="G65" s="11">
        <v>27.4</v>
      </c>
      <c r="H65" s="1" t="s">
        <v>0</v>
      </c>
      <c r="I65">
        <v>0</v>
      </c>
      <c r="J65">
        <v>33</v>
      </c>
      <c r="K65" t="s">
        <v>6</v>
      </c>
      <c r="L65">
        <v>26.2</v>
      </c>
      <c r="M65">
        <f t="shared" si="3"/>
        <v>0</v>
      </c>
    </row>
    <row r="66" spans="1:13" x14ac:dyDescent="0.2">
      <c r="A66" s="9">
        <v>42800</v>
      </c>
      <c r="B66">
        <f t="shared" si="0"/>
        <v>6</v>
      </c>
      <c r="C66">
        <f t="shared" si="1"/>
        <v>3</v>
      </c>
      <c r="D66">
        <f t="shared" si="2"/>
        <v>2017</v>
      </c>
      <c r="E66" s="11">
        <v>3.1309999999999998</v>
      </c>
      <c r="F66" s="11">
        <v>101.54900000000001</v>
      </c>
      <c r="G66" s="11">
        <v>27.4</v>
      </c>
      <c r="H66" s="1" t="s">
        <v>0</v>
      </c>
      <c r="I66">
        <v>25.9</v>
      </c>
      <c r="J66">
        <v>33.5</v>
      </c>
      <c r="K66">
        <v>23.9</v>
      </c>
      <c r="L66">
        <v>28</v>
      </c>
      <c r="M66">
        <f t="shared" si="3"/>
        <v>1</v>
      </c>
    </row>
    <row r="67" spans="1:13" x14ac:dyDescent="0.2">
      <c r="A67" s="9">
        <v>42801</v>
      </c>
      <c r="B67">
        <f t="shared" ref="B67:B130" si="4">DAY(A67)</f>
        <v>7</v>
      </c>
      <c r="C67">
        <f t="shared" ref="C67:C130" si="5">MONTH(A67)</f>
        <v>3</v>
      </c>
      <c r="D67">
        <f t="shared" ref="D67:D130" si="6">YEAR(A67)</f>
        <v>2017</v>
      </c>
      <c r="E67" s="11">
        <v>3.1309999999999998</v>
      </c>
      <c r="F67" s="11">
        <v>101.54900000000001</v>
      </c>
      <c r="G67" s="11">
        <v>27.4</v>
      </c>
      <c r="H67" s="1" t="s">
        <v>0</v>
      </c>
      <c r="I67">
        <v>3.6</v>
      </c>
      <c r="J67">
        <v>32.700000000000003</v>
      </c>
      <c r="K67">
        <v>24.2</v>
      </c>
      <c r="L67">
        <v>27.1</v>
      </c>
      <c r="M67">
        <f t="shared" ref="M67:M130" si="7">IF(ISNUMBER(I67), IF(I67&gt;0, 1, 0), "")</f>
        <v>1</v>
      </c>
    </row>
    <row r="68" spans="1:13" x14ac:dyDescent="0.2">
      <c r="A68" s="9">
        <v>42802</v>
      </c>
      <c r="B68">
        <f t="shared" si="4"/>
        <v>8</v>
      </c>
      <c r="C68">
        <f t="shared" si="5"/>
        <v>3</v>
      </c>
      <c r="D68">
        <f t="shared" si="6"/>
        <v>2017</v>
      </c>
      <c r="E68" s="11">
        <v>3.1309999999999998</v>
      </c>
      <c r="F68" s="11">
        <v>101.54900000000001</v>
      </c>
      <c r="G68" s="11">
        <v>27.4</v>
      </c>
      <c r="H68" s="1" t="s">
        <v>0</v>
      </c>
      <c r="I68">
        <v>2.2999999999999998</v>
      </c>
      <c r="J68">
        <v>34.1</v>
      </c>
      <c r="K68">
        <v>24.5</v>
      </c>
      <c r="L68">
        <v>27.4</v>
      </c>
      <c r="M68">
        <f t="shared" si="7"/>
        <v>1</v>
      </c>
    </row>
    <row r="69" spans="1:13" x14ac:dyDescent="0.2">
      <c r="A69" s="9">
        <v>42803</v>
      </c>
      <c r="B69">
        <f t="shared" si="4"/>
        <v>9</v>
      </c>
      <c r="C69">
        <f t="shared" si="5"/>
        <v>3</v>
      </c>
      <c r="D69">
        <f t="shared" si="6"/>
        <v>2017</v>
      </c>
      <c r="E69" s="11">
        <v>3.1309999999999998</v>
      </c>
      <c r="F69" s="11">
        <v>101.54900000000001</v>
      </c>
      <c r="G69" s="11">
        <v>27.4</v>
      </c>
      <c r="H69" s="1" t="s">
        <v>0</v>
      </c>
      <c r="I69">
        <v>1</v>
      </c>
      <c r="J69" t="s">
        <v>6</v>
      </c>
      <c r="K69">
        <v>24.5</v>
      </c>
      <c r="L69">
        <v>27.6</v>
      </c>
      <c r="M69">
        <f t="shared" si="7"/>
        <v>1</v>
      </c>
    </row>
    <row r="70" spans="1:13" x14ac:dyDescent="0.2">
      <c r="A70" s="9">
        <v>42804</v>
      </c>
      <c r="B70">
        <f t="shared" si="4"/>
        <v>10</v>
      </c>
      <c r="C70">
        <f t="shared" si="5"/>
        <v>3</v>
      </c>
      <c r="D70">
        <f t="shared" si="6"/>
        <v>2017</v>
      </c>
      <c r="E70" s="11">
        <v>3.1309999999999998</v>
      </c>
      <c r="F70" s="11">
        <v>101.54900000000001</v>
      </c>
      <c r="G70" s="11">
        <v>27.4</v>
      </c>
      <c r="H70" s="1" t="s">
        <v>0</v>
      </c>
      <c r="I70">
        <v>0.3</v>
      </c>
      <c r="J70">
        <v>34.700000000000003</v>
      </c>
      <c r="K70">
        <v>24.5</v>
      </c>
      <c r="L70">
        <v>29</v>
      </c>
      <c r="M70">
        <f t="shared" si="7"/>
        <v>1</v>
      </c>
    </row>
    <row r="71" spans="1:13" x14ac:dyDescent="0.2">
      <c r="A71" s="9">
        <v>42805</v>
      </c>
      <c r="B71">
        <f t="shared" si="4"/>
        <v>11</v>
      </c>
      <c r="C71">
        <f t="shared" si="5"/>
        <v>3</v>
      </c>
      <c r="D71">
        <f t="shared" si="6"/>
        <v>2017</v>
      </c>
      <c r="E71" s="11">
        <v>3.1309999999999998</v>
      </c>
      <c r="F71" s="11">
        <v>101.54900000000001</v>
      </c>
      <c r="G71" s="11">
        <v>27.4</v>
      </c>
      <c r="H71" s="1" t="s">
        <v>0</v>
      </c>
      <c r="I71">
        <v>0</v>
      </c>
      <c r="J71">
        <v>33.6</v>
      </c>
      <c r="K71">
        <v>25</v>
      </c>
      <c r="L71">
        <v>29</v>
      </c>
      <c r="M71">
        <f t="shared" si="7"/>
        <v>0</v>
      </c>
    </row>
    <row r="72" spans="1:13" x14ac:dyDescent="0.2">
      <c r="A72" s="9">
        <v>42806</v>
      </c>
      <c r="B72">
        <f t="shared" si="4"/>
        <v>12</v>
      </c>
      <c r="C72">
        <f t="shared" si="5"/>
        <v>3</v>
      </c>
      <c r="D72">
        <f t="shared" si="6"/>
        <v>2017</v>
      </c>
      <c r="E72" s="11">
        <v>3.1309999999999998</v>
      </c>
      <c r="F72" s="11">
        <v>101.54900000000001</v>
      </c>
      <c r="G72" s="11">
        <v>27.4</v>
      </c>
      <c r="H72" s="1" t="s">
        <v>0</v>
      </c>
      <c r="I72">
        <v>0</v>
      </c>
      <c r="J72" t="s">
        <v>6</v>
      </c>
      <c r="K72">
        <v>24.7</v>
      </c>
      <c r="L72">
        <v>28.3</v>
      </c>
      <c r="M72">
        <f t="shared" si="7"/>
        <v>0</v>
      </c>
    </row>
    <row r="73" spans="1:13" x14ac:dyDescent="0.2">
      <c r="A73" s="9">
        <v>42807</v>
      </c>
      <c r="B73">
        <f t="shared" si="4"/>
        <v>13</v>
      </c>
      <c r="C73">
        <f t="shared" si="5"/>
        <v>3</v>
      </c>
      <c r="D73">
        <f t="shared" si="6"/>
        <v>2017</v>
      </c>
      <c r="E73" s="11">
        <v>3.1309999999999998</v>
      </c>
      <c r="F73" s="11">
        <v>101.54900000000001</v>
      </c>
      <c r="G73" s="11">
        <v>27.4</v>
      </c>
      <c r="H73" s="1" t="s">
        <v>0</v>
      </c>
      <c r="I73">
        <v>0</v>
      </c>
      <c r="J73">
        <v>34.700000000000003</v>
      </c>
      <c r="K73">
        <v>24.6</v>
      </c>
      <c r="L73">
        <v>28.9</v>
      </c>
      <c r="M73">
        <f t="shared" si="7"/>
        <v>0</v>
      </c>
    </row>
    <row r="74" spans="1:13" x14ac:dyDescent="0.2">
      <c r="A74" s="9">
        <v>42808</v>
      </c>
      <c r="B74">
        <f t="shared" si="4"/>
        <v>14</v>
      </c>
      <c r="C74">
        <f t="shared" si="5"/>
        <v>3</v>
      </c>
      <c r="D74">
        <f t="shared" si="6"/>
        <v>2017</v>
      </c>
      <c r="E74" s="11">
        <v>3.1309999999999998</v>
      </c>
      <c r="F74" s="11">
        <v>101.54900000000001</v>
      </c>
      <c r="G74" s="11">
        <v>27.4</v>
      </c>
      <c r="H74" s="1" t="s">
        <v>0</v>
      </c>
      <c r="I74">
        <v>2.5</v>
      </c>
      <c r="J74" t="s">
        <v>6</v>
      </c>
      <c r="K74">
        <v>25.2</v>
      </c>
      <c r="L74">
        <v>28.1</v>
      </c>
      <c r="M74">
        <f t="shared" si="7"/>
        <v>1</v>
      </c>
    </row>
    <row r="75" spans="1:13" x14ac:dyDescent="0.2">
      <c r="A75" s="9">
        <v>42809</v>
      </c>
      <c r="B75">
        <f t="shared" si="4"/>
        <v>15</v>
      </c>
      <c r="C75">
        <f t="shared" si="5"/>
        <v>3</v>
      </c>
      <c r="D75">
        <f t="shared" si="6"/>
        <v>2017</v>
      </c>
      <c r="E75" s="11">
        <v>3.1309999999999998</v>
      </c>
      <c r="F75" s="11">
        <v>101.54900000000001</v>
      </c>
      <c r="G75" s="11">
        <v>27.4</v>
      </c>
      <c r="H75" s="1" t="s">
        <v>0</v>
      </c>
      <c r="I75">
        <v>1.8</v>
      </c>
      <c r="J75" t="s">
        <v>6</v>
      </c>
      <c r="K75">
        <v>25</v>
      </c>
      <c r="L75">
        <v>30</v>
      </c>
      <c r="M75">
        <f t="shared" si="7"/>
        <v>1</v>
      </c>
    </row>
    <row r="76" spans="1:13" x14ac:dyDescent="0.2">
      <c r="A76" s="9">
        <v>42810</v>
      </c>
      <c r="B76">
        <f t="shared" si="4"/>
        <v>16</v>
      </c>
      <c r="C76">
        <f t="shared" si="5"/>
        <v>3</v>
      </c>
      <c r="D76">
        <f t="shared" si="6"/>
        <v>2017</v>
      </c>
      <c r="E76" s="11">
        <v>3.1309999999999998</v>
      </c>
      <c r="F76" s="11">
        <v>101.54900000000001</v>
      </c>
      <c r="G76" s="11">
        <v>27.4</v>
      </c>
      <c r="H76" s="1" t="s">
        <v>0</v>
      </c>
      <c r="I76">
        <v>0</v>
      </c>
      <c r="J76">
        <v>32.1</v>
      </c>
      <c r="K76">
        <v>25</v>
      </c>
      <c r="L76">
        <v>27.7</v>
      </c>
      <c r="M76">
        <f t="shared" si="7"/>
        <v>0</v>
      </c>
    </row>
    <row r="77" spans="1:13" x14ac:dyDescent="0.2">
      <c r="A77" s="9">
        <v>42811</v>
      </c>
      <c r="B77">
        <f t="shared" si="4"/>
        <v>17</v>
      </c>
      <c r="C77">
        <f t="shared" si="5"/>
        <v>3</v>
      </c>
      <c r="D77">
        <f t="shared" si="6"/>
        <v>2017</v>
      </c>
      <c r="E77" s="11">
        <v>3.1309999999999998</v>
      </c>
      <c r="F77" s="11">
        <v>101.54900000000001</v>
      </c>
      <c r="G77" s="11">
        <v>27.4</v>
      </c>
      <c r="H77" s="1" t="s">
        <v>0</v>
      </c>
      <c r="I77">
        <v>0.5</v>
      </c>
      <c r="J77">
        <v>34.200000000000003</v>
      </c>
      <c r="K77">
        <v>24.8</v>
      </c>
      <c r="L77">
        <v>27.3</v>
      </c>
      <c r="M77">
        <f t="shared" si="7"/>
        <v>1</v>
      </c>
    </row>
    <row r="78" spans="1:13" x14ac:dyDescent="0.2">
      <c r="A78" s="9">
        <v>42812</v>
      </c>
      <c r="B78">
        <f t="shared" si="4"/>
        <v>18</v>
      </c>
      <c r="C78">
        <f t="shared" si="5"/>
        <v>3</v>
      </c>
      <c r="D78">
        <f t="shared" si="6"/>
        <v>2017</v>
      </c>
      <c r="E78" s="11">
        <v>3.1309999999999998</v>
      </c>
      <c r="F78" s="11">
        <v>101.54900000000001</v>
      </c>
      <c r="G78" s="11">
        <v>27.4</v>
      </c>
      <c r="H78" s="1" t="s">
        <v>0</v>
      </c>
      <c r="I78">
        <v>2.8</v>
      </c>
      <c r="J78">
        <v>33.700000000000003</v>
      </c>
      <c r="K78">
        <v>24.7</v>
      </c>
      <c r="L78">
        <v>27.1</v>
      </c>
      <c r="M78">
        <f t="shared" si="7"/>
        <v>1</v>
      </c>
    </row>
    <row r="79" spans="1:13" x14ac:dyDescent="0.2">
      <c r="A79" s="9">
        <v>42813</v>
      </c>
      <c r="B79">
        <f t="shared" si="4"/>
        <v>19</v>
      </c>
      <c r="C79">
        <f t="shared" si="5"/>
        <v>3</v>
      </c>
      <c r="D79">
        <f t="shared" si="6"/>
        <v>2017</v>
      </c>
      <c r="E79" s="11">
        <v>3.1309999999999998</v>
      </c>
      <c r="F79" s="11">
        <v>101.54900000000001</v>
      </c>
      <c r="G79" s="11">
        <v>27.4</v>
      </c>
      <c r="H79" s="1" t="s">
        <v>0</v>
      </c>
      <c r="I79">
        <v>19.3</v>
      </c>
      <c r="J79">
        <v>33.200000000000003</v>
      </c>
      <c r="K79" t="s">
        <v>6</v>
      </c>
      <c r="L79">
        <v>26.8</v>
      </c>
      <c r="M79">
        <f t="shared" si="7"/>
        <v>1</v>
      </c>
    </row>
    <row r="80" spans="1:13" x14ac:dyDescent="0.2">
      <c r="A80" s="9">
        <v>42814</v>
      </c>
      <c r="B80">
        <f t="shared" si="4"/>
        <v>20</v>
      </c>
      <c r="C80">
        <f t="shared" si="5"/>
        <v>3</v>
      </c>
      <c r="D80">
        <f t="shared" si="6"/>
        <v>2017</v>
      </c>
      <c r="E80" s="11">
        <v>3.1309999999999998</v>
      </c>
      <c r="F80" s="11">
        <v>101.54900000000001</v>
      </c>
      <c r="G80" s="11">
        <v>27.4</v>
      </c>
      <c r="H80" s="1" t="s">
        <v>0</v>
      </c>
      <c r="I80">
        <v>15</v>
      </c>
      <c r="J80">
        <v>29.1</v>
      </c>
      <c r="K80">
        <v>23.8</v>
      </c>
      <c r="L80">
        <v>26.2</v>
      </c>
      <c r="M80">
        <f t="shared" si="7"/>
        <v>1</v>
      </c>
    </row>
    <row r="81" spans="1:13" x14ac:dyDescent="0.2">
      <c r="A81" s="9">
        <v>42815</v>
      </c>
      <c r="B81">
        <f t="shared" si="4"/>
        <v>21</v>
      </c>
      <c r="C81">
        <f t="shared" si="5"/>
        <v>3</v>
      </c>
      <c r="D81">
        <f t="shared" si="6"/>
        <v>2017</v>
      </c>
      <c r="E81" s="11">
        <v>3.1309999999999998</v>
      </c>
      <c r="F81" s="11">
        <v>101.54900000000001</v>
      </c>
      <c r="G81" s="11">
        <v>27.4</v>
      </c>
      <c r="H81" s="1" t="s">
        <v>0</v>
      </c>
      <c r="I81">
        <v>4.5999999999999996</v>
      </c>
      <c r="J81">
        <v>33.700000000000003</v>
      </c>
      <c r="K81">
        <v>23.9</v>
      </c>
      <c r="L81">
        <v>29.3</v>
      </c>
      <c r="M81">
        <f t="shared" si="7"/>
        <v>1</v>
      </c>
    </row>
    <row r="82" spans="1:13" x14ac:dyDescent="0.2">
      <c r="A82" s="9">
        <v>42816</v>
      </c>
      <c r="B82">
        <f t="shared" si="4"/>
        <v>22</v>
      </c>
      <c r="C82">
        <f t="shared" si="5"/>
        <v>3</v>
      </c>
      <c r="D82">
        <f t="shared" si="6"/>
        <v>2017</v>
      </c>
      <c r="E82" s="11">
        <v>3.1309999999999998</v>
      </c>
      <c r="F82" s="11">
        <v>101.54900000000001</v>
      </c>
      <c r="G82" s="11">
        <v>27.4</v>
      </c>
      <c r="H82" s="1" t="s">
        <v>0</v>
      </c>
      <c r="I82">
        <v>0</v>
      </c>
      <c r="J82">
        <v>35.700000000000003</v>
      </c>
      <c r="K82">
        <v>24.5</v>
      </c>
      <c r="L82">
        <v>29.8</v>
      </c>
      <c r="M82">
        <f t="shared" si="7"/>
        <v>0</v>
      </c>
    </row>
    <row r="83" spans="1:13" x14ac:dyDescent="0.2">
      <c r="A83" s="9">
        <v>42817</v>
      </c>
      <c r="B83">
        <f t="shared" si="4"/>
        <v>23</v>
      </c>
      <c r="C83">
        <f t="shared" si="5"/>
        <v>3</v>
      </c>
      <c r="D83">
        <f t="shared" si="6"/>
        <v>2017</v>
      </c>
      <c r="E83" s="11">
        <v>3.1309999999999998</v>
      </c>
      <c r="F83" s="11">
        <v>101.54900000000001</v>
      </c>
      <c r="G83" s="11">
        <v>27.4</v>
      </c>
      <c r="H83" s="1" t="s">
        <v>0</v>
      </c>
      <c r="I83">
        <v>0</v>
      </c>
      <c r="J83">
        <v>34.700000000000003</v>
      </c>
      <c r="K83">
        <v>26.1</v>
      </c>
      <c r="L83">
        <v>29.4</v>
      </c>
      <c r="M83">
        <f t="shared" si="7"/>
        <v>0</v>
      </c>
    </row>
    <row r="84" spans="1:13" x14ac:dyDescent="0.2">
      <c r="A84" s="9">
        <v>42818</v>
      </c>
      <c r="B84">
        <f t="shared" si="4"/>
        <v>24</v>
      </c>
      <c r="C84">
        <f t="shared" si="5"/>
        <v>3</v>
      </c>
      <c r="D84">
        <f t="shared" si="6"/>
        <v>2017</v>
      </c>
      <c r="E84" s="11">
        <v>3.1309999999999998</v>
      </c>
      <c r="F84" s="11">
        <v>101.54900000000001</v>
      </c>
      <c r="G84" s="11">
        <v>27.4</v>
      </c>
      <c r="H84" s="1" t="s">
        <v>0</v>
      </c>
      <c r="I84">
        <v>3.8</v>
      </c>
      <c r="J84">
        <v>30.4</v>
      </c>
      <c r="K84" t="s">
        <v>6</v>
      </c>
      <c r="L84">
        <v>27.5</v>
      </c>
      <c r="M84">
        <f t="shared" si="7"/>
        <v>1</v>
      </c>
    </row>
    <row r="85" spans="1:13" x14ac:dyDescent="0.2">
      <c r="A85" s="9">
        <v>42819</v>
      </c>
      <c r="B85">
        <f t="shared" si="4"/>
        <v>25</v>
      </c>
      <c r="C85">
        <f t="shared" si="5"/>
        <v>3</v>
      </c>
      <c r="D85">
        <f t="shared" si="6"/>
        <v>2017</v>
      </c>
      <c r="E85" s="11">
        <v>3.1309999999999998</v>
      </c>
      <c r="F85" s="11">
        <v>101.54900000000001</v>
      </c>
      <c r="G85" s="11">
        <v>27.4</v>
      </c>
      <c r="H85" s="1" t="s">
        <v>0</v>
      </c>
      <c r="I85">
        <v>18.5</v>
      </c>
      <c r="J85" t="s">
        <v>6</v>
      </c>
      <c r="K85">
        <v>25.1</v>
      </c>
      <c r="L85">
        <v>28.7</v>
      </c>
      <c r="M85">
        <f t="shared" si="7"/>
        <v>1</v>
      </c>
    </row>
    <row r="86" spans="1:13" x14ac:dyDescent="0.2">
      <c r="A86" s="9">
        <v>42820</v>
      </c>
      <c r="B86">
        <f t="shared" si="4"/>
        <v>26</v>
      </c>
      <c r="C86">
        <f t="shared" si="5"/>
        <v>3</v>
      </c>
      <c r="D86">
        <f t="shared" si="6"/>
        <v>2017</v>
      </c>
      <c r="E86" s="11">
        <v>3.1309999999999998</v>
      </c>
      <c r="F86" s="11">
        <v>101.54900000000001</v>
      </c>
      <c r="G86" s="11">
        <v>27.4</v>
      </c>
      <c r="H86" s="1" t="s">
        <v>0</v>
      </c>
      <c r="I86">
        <v>2</v>
      </c>
      <c r="J86" t="s">
        <v>6</v>
      </c>
      <c r="K86" t="s">
        <v>6</v>
      </c>
      <c r="L86">
        <v>27.9</v>
      </c>
      <c r="M86">
        <f t="shared" si="7"/>
        <v>1</v>
      </c>
    </row>
    <row r="87" spans="1:13" x14ac:dyDescent="0.2">
      <c r="A87" s="9">
        <v>42821</v>
      </c>
      <c r="B87">
        <f t="shared" si="4"/>
        <v>27</v>
      </c>
      <c r="C87">
        <f t="shared" si="5"/>
        <v>3</v>
      </c>
      <c r="D87">
        <f t="shared" si="6"/>
        <v>2017</v>
      </c>
      <c r="E87" s="11">
        <v>3.1309999999999998</v>
      </c>
      <c r="F87" s="11">
        <v>101.54900000000001</v>
      </c>
      <c r="G87" s="11">
        <v>27.4</v>
      </c>
      <c r="H87" s="1" t="s">
        <v>0</v>
      </c>
      <c r="I87">
        <v>6.1</v>
      </c>
      <c r="J87">
        <v>34</v>
      </c>
      <c r="K87">
        <v>24.9</v>
      </c>
      <c r="L87">
        <v>28.2</v>
      </c>
      <c r="M87">
        <f t="shared" si="7"/>
        <v>1</v>
      </c>
    </row>
    <row r="88" spans="1:13" x14ac:dyDescent="0.2">
      <c r="A88" s="9">
        <v>42822</v>
      </c>
      <c r="B88">
        <f t="shared" si="4"/>
        <v>28</v>
      </c>
      <c r="C88">
        <f t="shared" si="5"/>
        <v>3</v>
      </c>
      <c r="D88">
        <f t="shared" si="6"/>
        <v>2017</v>
      </c>
      <c r="E88" s="11">
        <v>3.1309999999999998</v>
      </c>
      <c r="F88" s="11">
        <v>101.54900000000001</v>
      </c>
      <c r="G88" s="11">
        <v>27.4</v>
      </c>
      <c r="H88" s="1" t="s">
        <v>0</v>
      </c>
      <c r="I88">
        <v>46.5</v>
      </c>
      <c r="J88">
        <v>32.799999999999997</v>
      </c>
      <c r="K88" t="s">
        <v>6</v>
      </c>
      <c r="L88">
        <v>26.8</v>
      </c>
      <c r="M88">
        <f t="shared" si="7"/>
        <v>1</v>
      </c>
    </row>
    <row r="89" spans="1:13" x14ac:dyDescent="0.2">
      <c r="A89" s="9">
        <v>42823</v>
      </c>
      <c r="B89">
        <f t="shared" si="4"/>
        <v>29</v>
      </c>
      <c r="C89">
        <f t="shared" si="5"/>
        <v>3</v>
      </c>
      <c r="D89">
        <f t="shared" si="6"/>
        <v>2017</v>
      </c>
      <c r="E89" s="11">
        <v>3.1309999999999998</v>
      </c>
      <c r="F89" s="11">
        <v>101.54900000000001</v>
      </c>
      <c r="G89" s="11">
        <v>27.4</v>
      </c>
      <c r="H89" s="1" t="s">
        <v>0</v>
      </c>
      <c r="I89">
        <v>48.5</v>
      </c>
      <c r="J89" t="s">
        <v>6</v>
      </c>
      <c r="K89">
        <v>24.4</v>
      </c>
      <c r="L89">
        <v>27.1</v>
      </c>
      <c r="M89">
        <f t="shared" si="7"/>
        <v>1</v>
      </c>
    </row>
    <row r="90" spans="1:13" x14ac:dyDescent="0.2">
      <c r="A90" s="9">
        <v>42824</v>
      </c>
      <c r="B90">
        <f t="shared" si="4"/>
        <v>30</v>
      </c>
      <c r="C90">
        <f t="shared" si="5"/>
        <v>3</v>
      </c>
      <c r="D90">
        <f t="shared" si="6"/>
        <v>2017</v>
      </c>
      <c r="E90" s="11">
        <v>3.1309999999999998</v>
      </c>
      <c r="F90" s="11">
        <v>101.54900000000001</v>
      </c>
      <c r="G90" s="11">
        <v>27.4</v>
      </c>
      <c r="H90" s="1" t="s">
        <v>0</v>
      </c>
      <c r="I90">
        <v>12.7</v>
      </c>
      <c r="J90">
        <v>32.700000000000003</v>
      </c>
      <c r="K90">
        <v>24.8</v>
      </c>
      <c r="L90">
        <v>27.7</v>
      </c>
      <c r="M90">
        <f t="shared" si="7"/>
        <v>1</v>
      </c>
    </row>
    <row r="91" spans="1:13" x14ac:dyDescent="0.2">
      <c r="A91" s="9">
        <v>42825</v>
      </c>
      <c r="B91">
        <f t="shared" si="4"/>
        <v>31</v>
      </c>
      <c r="C91">
        <f t="shared" si="5"/>
        <v>3</v>
      </c>
      <c r="D91">
        <f t="shared" si="6"/>
        <v>2017</v>
      </c>
      <c r="E91" s="11">
        <v>3.1309999999999998</v>
      </c>
      <c r="F91" s="11">
        <v>101.54900000000001</v>
      </c>
      <c r="G91" s="11">
        <v>27.4</v>
      </c>
      <c r="H91" s="1" t="s">
        <v>0</v>
      </c>
      <c r="I91">
        <v>0</v>
      </c>
      <c r="J91">
        <v>33</v>
      </c>
      <c r="K91">
        <v>25.1</v>
      </c>
      <c r="L91">
        <v>28.1</v>
      </c>
      <c r="M91">
        <f t="shared" si="7"/>
        <v>0</v>
      </c>
    </row>
    <row r="92" spans="1:13" x14ac:dyDescent="0.2">
      <c r="A92" s="9">
        <v>42826</v>
      </c>
      <c r="B92">
        <f t="shared" si="4"/>
        <v>1</v>
      </c>
      <c r="C92">
        <f t="shared" si="5"/>
        <v>4</v>
      </c>
      <c r="D92">
        <f t="shared" si="6"/>
        <v>2017</v>
      </c>
      <c r="E92" s="11">
        <v>3.1309999999999998</v>
      </c>
      <c r="F92" s="11">
        <v>101.54900000000001</v>
      </c>
      <c r="G92" s="11">
        <v>27.4</v>
      </c>
      <c r="H92" s="1" t="s">
        <v>0</v>
      </c>
      <c r="I92">
        <v>0</v>
      </c>
      <c r="J92">
        <v>32</v>
      </c>
      <c r="K92" t="s">
        <v>6</v>
      </c>
      <c r="L92">
        <v>26.2</v>
      </c>
      <c r="M92">
        <f t="shared" si="7"/>
        <v>0</v>
      </c>
    </row>
    <row r="93" spans="1:13" x14ac:dyDescent="0.2">
      <c r="A93" s="9">
        <v>42827</v>
      </c>
      <c r="B93">
        <f t="shared" si="4"/>
        <v>2</v>
      </c>
      <c r="C93">
        <f t="shared" si="5"/>
        <v>4</v>
      </c>
      <c r="D93">
        <f t="shared" si="6"/>
        <v>2017</v>
      </c>
      <c r="E93" s="11">
        <v>3.1309999999999998</v>
      </c>
      <c r="F93" s="11">
        <v>101.54900000000001</v>
      </c>
      <c r="G93" s="11">
        <v>27.4</v>
      </c>
      <c r="H93" s="1" t="s">
        <v>0</v>
      </c>
      <c r="I93">
        <v>65.3</v>
      </c>
      <c r="J93">
        <v>31.4</v>
      </c>
      <c r="K93">
        <v>24.5</v>
      </c>
      <c r="L93">
        <v>27.6</v>
      </c>
      <c r="M93">
        <f t="shared" si="7"/>
        <v>1</v>
      </c>
    </row>
    <row r="94" spans="1:13" x14ac:dyDescent="0.2">
      <c r="A94" s="9">
        <v>42828</v>
      </c>
      <c r="B94">
        <f t="shared" si="4"/>
        <v>3</v>
      </c>
      <c r="C94">
        <f t="shared" si="5"/>
        <v>4</v>
      </c>
      <c r="D94">
        <f t="shared" si="6"/>
        <v>2017</v>
      </c>
      <c r="E94" s="11">
        <v>3.1309999999999998</v>
      </c>
      <c r="F94" s="11">
        <v>101.54900000000001</v>
      </c>
      <c r="G94" s="11">
        <v>27.4</v>
      </c>
      <c r="H94" s="1" t="s">
        <v>0</v>
      </c>
      <c r="I94">
        <v>1.3</v>
      </c>
      <c r="J94">
        <v>32.6</v>
      </c>
      <c r="K94">
        <v>24.7</v>
      </c>
      <c r="L94">
        <v>27.9</v>
      </c>
      <c r="M94">
        <f t="shared" si="7"/>
        <v>1</v>
      </c>
    </row>
    <row r="95" spans="1:13" x14ac:dyDescent="0.2">
      <c r="A95" s="9">
        <v>42829</v>
      </c>
      <c r="B95">
        <f t="shared" si="4"/>
        <v>4</v>
      </c>
      <c r="C95">
        <f t="shared" si="5"/>
        <v>4</v>
      </c>
      <c r="D95">
        <f t="shared" si="6"/>
        <v>2017</v>
      </c>
      <c r="E95" s="11">
        <v>3.1309999999999998</v>
      </c>
      <c r="F95" s="11">
        <v>101.54900000000001</v>
      </c>
      <c r="G95" s="11">
        <v>27.4</v>
      </c>
      <c r="H95" s="1" t="s">
        <v>0</v>
      </c>
      <c r="I95">
        <v>2.2999999999999998</v>
      </c>
      <c r="J95" t="s">
        <v>6</v>
      </c>
      <c r="K95" t="s">
        <v>6</v>
      </c>
      <c r="L95">
        <v>28.8</v>
      </c>
      <c r="M95">
        <f t="shared" si="7"/>
        <v>1</v>
      </c>
    </row>
    <row r="96" spans="1:13" x14ac:dyDescent="0.2">
      <c r="A96" s="9">
        <v>42830</v>
      </c>
      <c r="B96">
        <f t="shared" si="4"/>
        <v>5</v>
      </c>
      <c r="C96">
        <f t="shared" si="5"/>
        <v>4</v>
      </c>
      <c r="D96">
        <f t="shared" si="6"/>
        <v>2017</v>
      </c>
      <c r="E96" s="11">
        <v>3.1309999999999998</v>
      </c>
      <c r="F96" s="11">
        <v>101.54900000000001</v>
      </c>
      <c r="G96" s="11">
        <v>27.4</v>
      </c>
      <c r="H96" s="1" t="s">
        <v>0</v>
      </c>
      <c r="I96">
        <v>0.5</v>
      </c>
      <c r="J96">
        <v>33.6</v>
      </c>
      <c r="K96">
        <v>25.2</v>
      </c>
      <c r="L96">
        <v>29.1</v>
      </c>
      <c r="M96">
        <f t="shared" si="7"/>
        <v>1</v>
      </c>
    </row>
    <row r="97" spans="1:13" x14ac:dyDescent="0.2">
      <c r="A97" s="9">
        <v>42831</v>
      </c>
      <c r="B97">
        <f t="shared" si="4"/>
        <v>6</v>
      </c>
      <c r="C97">
        <f t="shared" si="5"/>
        <v>4</v>
      </c>
      <c r="D97">
        <f t="shared" si="6"/>
        <v>2017</v>
      </c>
      <c r="E97" s="11">
        <v>3.1309999999999998</v>
      </c>
      <c r="F97" s="11">
        <v>101.54900000000001</v>
      </c>
      <c r="G97" s="11">
        <v>27.4</v>
      </c>
      <c r="H97" s="1" t="s">
        <v>0</v>
      </c>
      <c r="I97">
        <v>0</v>
      </c>
      <c r="J97">
        <v>32.5</v>
      </c>
      <c r="K97">
        <v>25.7</v>
      </c>
      <c r="L97">
        <v>28.6</v>
      </c>
      <c r="M97">
        <f t="shared" si="7"/>
        <v>0</v>
      </c>
    </row>
    <row r="98" spans="1:13" x14ac:dyDescent="0.2">
      <c r="A98" s="9">
        <v>42832</v>
      </c>
      <c r="B98">
        <f t="shared" si="4"/>
        <v>7</v>
      </c>
      <c r="C98">
        <f t="shared" si="5"/>
        <v>4</v>
      </c>
      <c r="D98">
        <f t="shared" si="6"/>
        <v>2017</v>
      </c>
      <c r="E98" s="11">
        <v>3.1309999999999998</v>
      </c>
      <c r="F98" s="11">
        <v>101.54900000000001</v>
      </c>
      <c r="G98" s="11">
        <v>27.4</v>
      </c>
      <c r="H98" s="1" t="s">
        <v>0</v>
      </c>
      <c r="I98">
        <v>0</v>
      </c>
      <c r="J98">
        <v>34.799999999999997</v>
      </c>
      <c r="K98">
        <v>25.6</v>
      </c>
      <c r="L98">
        <v>29.5</v>
      </c>
      <c r="M98">
        <f t="shared" si="7"/>
        <v>0</v>
      </c>
    </row>
    <row r="99" spans="1:13" x14ac:dyDescent="0.2">
      <c r="A99" s="9">
        <v>42833</v>
      </c>
      <c r="B99">
        <f t="shared" si="4"/>
        <v>8</v>
      </c>
      <c r="C99">
        <f t="shared" si="5"/>
        <v>4</v>
      </c>
      <c r="D99">
        <f t="shared" si="6"/>
        <v>2017</v>
      </c>
      <c r="E99" s="11">
        <v>3.1309999999999998</v>
      </c>
      <c r="F99" s="11">
        <v>101.54900000000001</v>
      </c>
      <c r="G99" s="11">
        <v>27.4</v>
      </c>
      <c r="H99" s="1" t="s">
        <v>0</v>
      </c>
      <c r="I99">
        <v>0</v>
      </c>
      <c r="J99">
        <v>33.5</v>
      </c>
      <c r="K99" t="s">
        <v>6</v>
      </c>
      <c r="L99">
        <v>28.5</v>
      </c>
      <c r="M99">
        <f t="shared" si="7"/>
        <v>0</v>
      </c>
    </row>
    <row r="100" spans="1:13" x14ac:dyDescent="0.2">
      <c r="A100" s="9">
        <v>42834</v>
      </c>
      <c r="B100">
        <f t="shared" si="4"/>
        <v>9</v>
      </c>
      <c r="C100">
        <f t="shared" si="5"/>
        <v>4</v>
      </c>
      <c r="D100">
        <f t="shared" si="6"/>
        <v>2017</v>
      </c>
      <c r="E100" s="11">
        <v>3.1309999999999998</v>
      </c>
      <c r="F100" s="11">
        <v>101.54900000000001</v>
      </c>
      <c r="G100" s="11">
        <v>27.4</v>
      </c>
      <c r="H100" s="1" t="s">
        <v>0</v>
      </c>
      <c r="I100">
        <v>0</v>
      </c>
      <c r="J100">
        <v>34.1</v>
      </c>
      <c r="K100" t="s">
        <v>6</v>
      </c>
      <c r="L100">
        <v>27.8</v>
      </c>
      <c r="M100">
        <f t="shared" si="7"/>
        <v>0</v>
      </c>
    </row>
    <row r="101" spans="1:13" x14ac:dyDescent="0.2">
      <c r="A101" s="9">
        <v>42835</v>
      </c>
      <c r="B101">
        <f t="shared" si="4"/>
        <v>10</v>
      </c>
      <c r="C101">
        <f t="shared" si="5"/>
        <v>4</v>
      </c>
      <c r="D101">
        <f t="shared" si="6"/>
        <v>2017</v>
      </c>
      <c r="E101" s="11">
        <v>3.1309999999999998</v>
      </c>
      <c r="F101" s="11">
        <v>101.54900000000001</v>
      </c>
      <c r="G101" s="11">
        <v>27.4</v>
      </c>
      <c r="H101" s="1" t="s">
        <v>0</v>
      </c>
      <c r="I101">
        <v>0.5</v>
      </c>
      <c r="J101">
        <v>32.1</v>
      </c>
      <c r="K101" t="s">
        <v>6</v>
      </c>
      <c r="L101">
        <v>28.4</v>
      </c>
      <c r="M101">
        <f t="shared" si="7"/>
        <v>1</v>
      </c>
    </row>
    <row r="102" spans="1:13" x14ac:dyDescent="0.2">
      <c r="A102" s="9">
        <v>42836</v>
      </c>
      <c r="B102">
        <f t="shared" si="4"/>
        <v>11</v>
      </c>
      <c r="C102">
        <f t="shared" si="5"/>
        <v>4</v>
      </c>
      <c r="D102">
        <f t="shared" si="6"/>
        <v>2017</v>
      </c>
      <c r="E102" s="11">
        <v>3.1309999999999998</v>
      </c>
      <c r="F102" s="11">
        <v>101.54900000000001</v>
      </c>
      <c r="G102" s="11">
        <v>27.4</v>
      </c>
      <c r="H102" s="1" t="s">
        <v>0</v>
      </c>
      <c r="I102">
        <v>0</v>
      </c>
      <c r="J102">
        <v>32.299999999999997</v>
      </c>
      <c r="K102" t="s">
        <v>6</v>
      </c>
      <c r="L102">
        <v>27</v>
      </c>
      <c r="M102">
        <f t="shared" si="7"/>
        <v>0</v>
      </c>
    </row>
    <row r="103" spans="1:13" x14ac:dyDescent="0.2">
      <c r="A103" s="9">
        <v>42837</v>
      </c>
      <c r="B103">
        <f t="shared" si="4"/>
        <v>12</v>
      </c>
      <c r="C103">
        <f t="shared" si="5"/>
        <v>4</v>
      </c>
      <c r="D103">
        <f t="shared" si="6"/>
        <v>2017</v>
      </c>
      <c r="E103" s="11">
        <v>3.1309999999999998</v>
      </c>
      <c r="F103" s="11">
        <v>101.54900000000001</v>
      </c>
      <c r="G103" s="11">
        <v>27.4</v>
      </c>
      <c r="H103" s="1" t="s">
        <v>0</v>
      </c>
      <c r="I103">
        <v>15.5</v>
      </c>
      <c r="J103">
        <v>34.1</v>
      </c>
      <c r="K103">
        <v>25.1</v>
      </c>
      <c r="L103">
        <v>28.6</v>
      </c>
      <c r="M103">
        <f t="shared" si="7"/>
        <v>1</v>
      </c>
    </row>
    <row r="104" spans="1:13" x14ac:dyDescent="0.2">
      <c r="A104" s="9">
        <v>42838</v>
      </c>
      <c r="B104">
        <f t="shared" si="4"/>
        <v>13</v>
      </c>
      <c r="C104">
        <f t="shared" si="5"/>
        <v>4</v>
      </c>
      <c r="D104">
        <f t="shared" si="6"/>
        <v>2017</v>
      </c>
      <c r="E104" s="11">
        <v>3.1309999999999998</v>
      </c>
      <c r="F104" s="11">
        <v>101.54900000000001</v>
      </c>
      <c r="G104" s="11">
        <v>27.4</v>
      </c>
      <c r="H104" s="1" t="s">
        <v>0</v>
      </c>
      <c r="I104">
        <v>9.1</v>
      </c>
      <c r="J104" t="s">
        <v>6</v>
      </c>
      <c r="K104" t="s">
        <v>6</v>
      </c>
      <c r="L104">
        <v>28</v>
      </c>
      <c r="M104">
        <f t="shared" si="7"/>
        <v>1</v>
      </c>
    </row>
    <row r="105" spans="1:13" x14ac:dyDescent="0.2">
      <c r="A105" s="9">
        <v>42839</v>
      </c>
      <c r="B105">
        <f t="shared" si="4"/>
        <v>14</v>
      </c>
      <c r="C105">
        <f t="shared" si="5"/>
        <v>4</v>
      </c>
      <c r="D105">
        <f t="shared" si="6"/>
        <v>2017</v>
      </c>
      <c r="E105" s="11">
        <v>3.1309999999999998</v>
      </c>
      <c r="F105" s="11">
        <v>101.54900000000001</v>
      </c>
      <c r="G105" s="11">
        <v>27.4</v>
      </c>
      <c r="H105" s="1" t="s">
        <v>0</v>
      </c>
      <c r="I105">
        <v>2</v>
      </c>
      <c r="J105" t="s">
        <v>6</v>
      </c>
      <c r="K105">
        <v>24.9</v>
      </c>
      <c r="L105">
        <v>27.8</v>
      </c>
      <c r="M105">
        <f t="shared" si="7"/>
        <v>1</v>
      </c>
    </row>
    <row r="106" spans="1:13" x14ac:dyDescent="0.2">
      <c r="A106" s="9">
        <v>42840</v>
      </c>
      <c r="B106">
        <f t="shared" si="4"/>
        <v>15</v>
      </c>
      <c r="C106">
        <f t="shared" si="5"/>
        <v>4</v>
      </c>
      <c r="D106">
        <f t="shared" si="6"/>
        <v>2017</v>
      </c>
      <c r="E106" s="11">
        <v>3.1309999999999998</v>
      </c>
      <c r="F106" s="11">
        <v>101.54900000000001</v>
      </c>
      <c r="G106" s="11">
        <v>27.4</v>
      </c>
      <c r="H106" s="1" t="s">
        <v>0</v>
      </c>
      <c r="I106">
        <v>3.3</v>
      </c>
      <c r="J106" t="s">
        <v>6</v>
      </c>
      <c r="K106">
        <v>25.2</v>
      </c>
      <c r="L106">
        <v>27.7</v>
      </c>
      <c r="M106">
        <f t="shared" si="7"/>
        <v>1</v>
      </c>
    </row>
    <row r="107" spans="1:13" x14ac:dyDescent="0.2">
      <c r="A107" s="9">
        <v>42841</v>
      </c>
      <c r="B107">
        <f t="shared" si="4"/>
        <v>16</v>
      </c>
      <c r="C107">
        <f t="shared" si="5"/>
        <v>4</v>
      </c>
      <c r="D107">
        <f t="shared" si="6"/>
        <v>2017</v>
      </c>
      <c r="E107" s="11">
        <v>3.1309999999999998</v>
      </c>
      <c r="F107" s="11">
        <v>101.54900000000001</v>
      </c>
      <c r="G107" s="11">
        <v>27.4</v>
      </c>
      <c r="H107" s="1" t="s">
        <v>0</v>
      </c>
      <c r="I107">
        <v>14.5</v>
      </c>
      <c r="J107" t="s">
        <v>6</v>
      </c>
      <c r="K107" t="s">
        <v>6</v>
      </c>
      <c r="L107">
        <v>27.6</v>
      </c>
      <c r="M107">
        <f t="shared" si="7"/>
        <v>1</v>
      </c>
    </row>
    <row r="108" spans="1:13" x14ac:dyDescent="0.2">
      <c r="A108" s="9">
        <v>42842</v>
      </c>
      <c r="B108">
        <f t="shared" si="4"/>
        <v>17</v>
      </c>
      <c r="C108">
        <f t="shared" si="5"/>
        <v>4</v>
      </c>
      <c r="D108">
        <f t="shared" si="6"/>
        <v>2017</v>
      </c>
      <c r="E108" s="11">
        <v>3.1309999999999998</v>
      </c>
      <c r="F108" s="11">
        <v>101.54900000000001</v>
      </c>
      <c r="G108" s="11">
        <v>27.4</v>
      </c>
      <c r="H108" s="1" t="s">
        <v>0</v>
      </c>
      <c r="I108">
        <v>46.7</v>
      </c>
      <c r="J108" t="s">
        <v>6</v>
      </c>
      <c r="K108">
        <v>24.5</v>
      </c>
      <c r="L108">
        <v>30.1</v>
      </c>
      <c r="M108">
        <f t="shared" si="7"/>
        <v>1</v>
      </c>
    </row>
    <row r="109" spans="1:13" x14ac:dyDescent="0.2">
      <c r="A109" s="9">
        <v>42843</v>
      </c>
      <c r="B109">
        <f t="shared" si="4"/>
        <v>18</v>
      </c>
      <c r="C109">
        <f t="shared" si="5"/>
        <v>4</v>
      </c>
      <c r="D109">
        <f t="shared" si="6"/>
        <v>2017</v>
      </c>
      <c r="E109" s="11">
        <v>3.1309999999999998</v>
      </c>
      <c r="F109" s="11">
        <v>101.54900000000001</v>
      </c>
      <c r="G109" s="11">
        <v>27.4</v>
      </c>
      <c r="H109" s="1" t="s">
        <v>0</v>
      </c>
      <c r="I109">
        <v>0</v>
      </c>
      <c r="J109">
        <v>31</v>
      </c>
      <c r="K109" t="s">
        <v>6</v>
      </c>
      <c r="L109">
        <v>27.1</v>
      </c>
      <c r="M109">
        <f t="shared" si="7"/>
        <v>0</v>
      </c>
    </row>
    <row r="110" spans="1:13" x14ac:dyDescent="0.2">
      <c r="A110" s="9">
        <v>42844</v>
      </c>
      <c r="B110">
        <f t="shared" si="4"/>
        <v>19</v>
      </c>
      <c r="C110">
        <f t="shared" si="5"/>
        <v>4</v>
      </c>
      <c r="D110">
        <f t="shared" si="6"/>
        <v>2017</v>
      </c>
      <c r="E110" s="11">
        <v>3.1309999999999998</v>
      </c>
      <c r="F110" s="11">
        <v>101.54900000000001</v>
      </c>
      <c r="G110" s="11">
        <v>27.4</v>
      </c>
      <c r="H110" s="1" t="s">
        <v>0</v>
      </c>
      <c r="I110">
        <v>33</v>
      </c>
      <c r="J110">
        <v>33.200000000000003</v>
      </c>
      <c r="K110">
        <v>24.2</v>
      </c>
      <c r="L110">
        <v>28.3</v>
      </c>
      <c r="M110">
        <f t="shared" si="7"/>
        <v>1</v>
      </c>
    </row>
    <row r="111" spans="1:13" x14ac:dyDescent="0.2">
      <c r="A111" s="9">
        <v>42845</v>
      </c>
      <c r="B111">
        <f t="shared" si="4"/>
        <v>20</v>
      </c>
      <c r="C111">
        <f t="shared" si="5"/>
        <v>4</v>
      </c>
      <c r="D111">
        <f t="shared" si="6"/>
        <v>2017</v>
      </c>
      <c r="E111" s="11">
        <v>3.1309999999999998</v>
      </c>
      <c r="F111" s="11">
        <v>101.54900000000001</v>
      </c>
      <c r="G111" s="11">
        <v>27.4</v>
      </c>
      <c r="H111" s="1" t="s">
        <v>0</v>
      </c>
      <c r="I111">
        <v>0.5</v>
      </c>
      <c r="J111" t="s">
        <v>6</v>
      </c>
      <c r="K111" t="s">
        <v>6</v>
      </c>
      <c r="L111">
        <v>26.9</v>
      </c>
      <c r="M111">
        <f t="shared" si="7"/>
        <v>1</v>
      </c>
    </row>
    <row r="112" spans="1:13" x14ac:dyDescent="0.2">
      <c r="A112" s="9">
        <v>42846</v>
      </c>
      <c r="B112">
        <f t="shared" si="4"/>
        <v>21</v>
      </c>
      <c r="C112">
        <f t="shared" si="5"/>
        <v>4</v>
      </c>
      <c r="D112">
        <f t="shared" si="6"/>
        <v>2017</v>
      </c>
      <c r="E112" s="11">
        <v>3.1309999999999998</v>
      </c>
      <c r="F112" s="11">
        <v>101.54900000000001</v>
      </c>
      <c r="G112" s="11">
        <v>27.4</v>
      </c>
      <c r="H112" s="1" t="s">
        <v>0</v>
      </c>
      <c r="I112">
        <v>12.7</v>
      </c>
      <c r="J112" t="s">
        <v>6</v>
      </c>
      <c r="K112" t="s">
        <v>6</v>
      </c>
      <c r="L112">
        <v>27.8</v>
      </c>
      <c r="M112">
        <f t="shared" si="7"/>
        <v>1</v>
      </c>
    </row>
    <row r="113" spans="1:13" x14ac:dyDescent="0.2">
      <c r="A113" s="9">
        <v>42847</v>
      </c>
      <c r="B113">
        <f t="shared" si="4"/>
        <v>22</v>
      </c>
      <c r="C113">
        <f t="shared" si="5"/>
        <v>4</v>
      </c>
      <c r="D113">
        <f t="shared" si="6"/>
        <v>2017</v>
      </c>
      <c r="E113" s="11">
        <v>3.1309999999999998</v>
      </c>
      <c r="F113" s="11">
        <v>101.54900000000001</v>
      </c>
      <c r="G113" s="11">
        <v>27.4</v>
      </c>
      <c r="H113" s="1" t="s">
        <v>0</v>
      </c>
      <c r="I113">
        <v>32.299999999999997</v>
      </c>
      <c r="J113">
        <v>32.1</v>
      </c>
      <c r="K113">
        <v>23.9</v>
      </c>
      <c r="L113">
        <v>27.6</v>
      </c>
      <c r="M113">
        <f t="shared" si="7"/>
        <v>1</v>
      </c>
    </row>
    <row r="114" spans="1:13" x14ac:dyDescent="0.2">
      <c r="A114" s="9">
        <v>42848</v>
      </c>
      <c r="B114">
        <f t="shared" si="4"/>
        <v>23</v>
      </c>
      <c r="C114">
        <f t="shared" si="5"/>
        <v>4</v>
      </c>
      <c r="D114">
        <f t="shared" si="6"/>
        <v>2017</v>
      </c>
      <c r="E114" s="11">
        <v>3.1309999999999998</v>
      </c>
      <c r="F114" s="11">
        <v>101.54900000000001</v>
      </c>
      <c r="G114" s="11">
        <v>27.4</v>
      </c>
      <c r="H114" s="1" t="s">
        <v>0</v>
      </c>
      <c r="I114">
        <v>0</v>
      </c>
      <c r="J114">
        <v>34.6</v>
      </c>
      <c r="K114">
        <v>24</v>
      </c>
      <c r="L114">
        <v>29.7</v>
      </c>
      <c r="M114">
        <f t="shared" si="7"/>
        <v>0</v>
      </c>
    </row>
    <row r="115" spans="1:13" x14ac:dyDescent="0.2">
      <c r="A115" s="9">
        <v>42849</v>
      </c>
      <c r="B115">
        <f t="shared" si="4"/>
        <v>24</v>
      </c>
      <c r="C115">
        <f t="shared" si="5"/>
        <v>4</v>
      </c>
      <c r="D115">
        <f t="shared" si="6"/>
        <v>2017</v>
      </c>
      <c r="E115" s="11">
        <v>3.1309999999999998</v>
      </c>
      <c r="F115" s="11">
        <v>101.54900000000001</v>
      </c>
      <c r="G115" s="11">
        <v>27.4</v>
      </c>
      <c r="H115" s="1" t="s">
        <v>0</v>
      </c>
      <c r="I115">
        <v>9.1</v>
      </c>
      <c r="J115" t="s">
        <v>6</v>
      </c>
      <c r="K115">
        <v>25.7</v>
      </c>
      <c r="L115">
        <v>28.1</v>
      </c>
      <c r="M115">
        <f t="shared" si="7"/>
        <v>1</v>
      </c>
    </row>
    <row r="116" spans="1:13" x14ac:dyDescent="0.2">
      <c r="A116" s="9">
        <v>42850</v>
      </c>
      <c r="B116">
        <f t="shared" si="4"/>
        <v>25</v>
      </c>
      <c r="C116">
        <f t="shared" si="5"/>
        <v>4</v>
      </c>
      <c r="D116">
        <f t="shared" si="6"/>
        <v>2017</v>
      </c>
      <c r="E116" s="11">
        <v>3.1309999999999998</v>
      </c>
      <c r="F116" s="11">
        <v>101.54900000000001</v>
      </c>
      <c r="G116" s="11">
        <v>27.4</v>
      </c>
      <c r="H116" s="1" t="s">
        <v>0</v>
      </c>
      <c r="I116">
        <v>0</v>
      </c>
      <c r="J116" t="s">
        <v>6</v>
      </c>
      <c r="K116" t="s">
        <v>6</v>
      </c>
      <c r="L116">
        <v>28.1</v>
      </c>
      <c r="M116">
        <f t="shared" si="7"/>
        <v>0</v>
      </c>
    </row>
    <row r="117" spans="1:13" x14ac:dyDescent="0.2">
      <c r="A117" s="9">
        <v>42851</v>
      </c>
      <c r="B117">
        <f t="shared" si="4"/>
        <v>26</v>
      </c>
      <c r="C117">
        <f t="shared" si="5"/>
        <v>4</v>
      </c>
      <c r="D117">
        <f t="shared" si="6"/>
        <v>2017</v>
      </c>
      <c r="E117" s="11">
        <v>3.1309999999999998</v>
      </c>
      <c r="F117" s="11">
        <v>101.54900000000001</v>
      </c>
      <c r="G117" s="11">
        <v>27.4</v>
      </c>
      <c r="H117" s="1" t="s">
        <v>0</v>
      </c>
      <c r="I117">
        <v>0</v>
      </c>
      <c r="J117" t="s">
        <v>6</v>
      </c>
      <c r="K117" t="s">
        <v>6</v>
      </c>
      <c r="L117">
        <v>25.5</v>
      </c>
      <c r="M117">
        <f t="shared" si="7"/>
        <v>0</v>
      </c>
    </row>
    <row r="118" spans="1:13" x14ac:dyDescent="0.2">
      <c r="A118" s="9">
        <v>42852</v>
      </c>
      <c r="B118">
        <f t="shared" si="4"/>
        <v>27</v>
      </c>
      <c r="C118">
        <f t="shared" si="5"/>
        <v>4</v>
      </c>
      <c r="D118">
        <f t="shared" si="6"/>
        <v>2017</v>
      </c>
      <c r="E118" s="11">
        <v>3.1309999999999998</v>
      </c>
      <c r="F118" s="11">
        <v>101.54900000000001</v>
      </c>
      <c r="G118" s="11">
        <v>27.4</v>
      </c>
      <c r="H118" s="1" t="s">
        <v>0</v>
      </c>
      <c r="I118">
        <v>36.799999999999997</v>
      </c>
      <c r="J118" t="s">
        <v>6</v>
      </c>
      <c r="K118">
        <v>23.9</v>
      </c>
      <c r="L118">
        <v>28.2</v>
      </c>
      <c r="M118">
        <f t="shared" si="7"/>
        <v>1</v>
      </c>
    </row>
    <row r="119" spans="1:13" x14ac:dyDescent="0.2">
      <c r="A119" s="9">
        <v>42853</v>
      </c>
      <c r="B119">
        <f t="shared" si="4"/>
        <v>28</v>
      </c>
      <c r="C119">
        <f t="shared" si="5"/>
        <v>4</v>
      </c>
      <c r="D119">
        <f t="shared" si="6"/>
        <v>2017</v>
      </c>
      <c r="E119" s="11">
        <v>3.1309999999999998</v>
      </c>
      <c r="F119" s="11">
        <v>101.54900000000001</v>
      </c>
      <c r="G119" s="11">
        <v>27.4</v>
      </c>
      <c r="H119" s="1" t="s">
        <v>0</v>
      </c>
      <c r="I119">
        <v>0</v>
      </c>
      <c r="J119" t="s">
        <v>6</v>
      </c>
      <c r="K119" t="s">
        <v>6</v>
      </c>
      <c r="L119">
        <v>26.1</v>
      </c>
      <c r="M119">
        <f t="shared" si="7"/>
        <v>0</v>
      </c>
    </row>
    <row r="120" spans="1:13" x14ac:dyDescent="0.2">
      <c r="A120" s="9">
        <v>42854</v>
      </c>
      <c r="B120">
        <f t="shared" si="4"/>
        <v>29</v>
      </c>
      <c r="C120">
        <f t="shared" si="5"/>
        <v>4</v>
      </c>
      <c r="D120">
        <f t="shared" si="6"/>
        <v>2017</v>
      </c>
      <c r="E120" s="11">
        <v>3.1309999999999998</v>
      </c>
      <c r="F120" s="11">
        <v>101.54900000000001</v>
      </c>
      <c r="G120" s="11">
        <v>27.4</v>
      </c>
      <c r="H120" s="1" t="s">
        <v>0</v>
      </c>
      <c r="I120">
        <v>9.1</v>
      </c>
      <c r="J120" t="s">
        <v>6</v>
      </c>
      <c r="K120">
        <v>23.6</v>
      </c>
      <c r="L120">
        <v>27.8</v>
      </c>
      <c r="M120">
        <f t="shared" si="7"/>
        <v>1</v>
      </c>
    </row>
    <row r="121" spans="1:13" x14ac:dyDescent="0.2">
      <c r="A121" s="9">
        <v>42855</v>
      </c>
      <c r="B121">
        <f t="shared" si="4"/>
        <v>30</v>
      </c>
      <c r="C121">
        <f t="shared" si="5"/>
        <v>4</v>
      </c>
      <c r="D121">
        <f t="shared" si="6"/>
        <v>2017</v>
      </c>
      <c r="E121" s="11">
        <v>3.1309999999999998</v>
      </c>
      <c r="F121" s="11">
        <v>101.54900000000001</v>
      </c>
      <c r="G121" s="11">
        <v>27.4</v>
      </c>
      <c r="H121" s="1" t="s">
        <v>0</v>
      </c>
      <c r="I121">
        <v>7.4</v>
      </c>
      <c r="J121" t="s">
        <v>6</v>
      </c>
      <c r="K121" t="s">
        <v>6</v>
      </c>
      <c r="L121">
        <v>27.6</v>
      </c>
      <c r="M121">
        <f t="shared" si="7"/>
        <v>1</v>
      </c>
    </row>
    <row r="122" spans="1:13" x14ac:dyDescent="0.2">
      <c r="A122" s="9">
        <v>42856</v>
      </c>
      <c r="B122">
        <f t="shared" si="4"/>
        <v>1</v>
      </c>
      <c r="C122">
        <f t="shared" si="5"/>
        <v>5</v>
      </c>
      <c r="D122">
        <f t="shared" si="6"/>
        <v>2017</v>
      </c>
      <c r="E122" s="11">
        <v>3.1309999999999998</v>
      </c>
      <c r="F122" s="11">
        <v>101.54900000000001</v>
      </c>
      <c r="G122" s="11">
        <v>27.4</v>
      </c>
      <c r="H122" s="1" t="s">
        <v>0</v>
      </c>
      <c r="I122">
        <v>34.299999999999997</v>
      </c>
      <c r="J122" t="s">
        <v>6</v>
      </c>
      <c r="K122">
        <v>24</v>
      </c>
      <c r="L122">
        <v>27.1</v>
      </c>
      <c r="M122">
        <f t="shared" si="7"/>
        <v>1</v>
      </c>
    </row>
    <row r="123" spans="1:13" x14ac:dyDescent="0.2">
      <c r="A123" s="9">
        <v>42857</v>
      </c>
      <c r="B123">
        <f t="shared" si="4"/>
        <v>2</v>
      </c>
      <c r="C123">
        <f t="shared" si="5"/>
        <v>5</v>
      </c>
      <c r="D123">
        <f t="shared" si="6"/>
        <v>2017</v>
      </c>
      <c r="E123" s="11">
        <v>3.1309999999999998</v>
      </c>
      <c r="F123" s="11">
        <v>101.54900000000001</v>
      </c>
      <c r="G123" s="11">
        <v>27.4</v>
      </c>
      <c r="H123" s="1" t="s">
        <v>0</v>
      </c>
      <c r="I123">
        <v>0.8</v>
      </c>
      <c r="J123" t="s">
        <v>6</v>
      </c>
      <c r="K123" t="s">
        <v>6</v>
      </c>
      <c r="L123">
        <v>26.4</v>
      </c>
      <c r="M123">
        <f t="shared" si="7"/>
        <v>1</v>
      </c>
    </row>
    <row r="124" spans="1:13" x14ac:dyDescent="0.2">
      <c r="A124" s="9">
        <v>42858</v>
      </c>
      <c r="B124">
        <f t="shared" si="4"/>
        <v>3</v>
      </c>
      <c r="C124">
        <f t="shared" si="5"/>
        <v>5</v>
      </c>
      <c r="D124">
        <f t="shared" si="6"/>
        <v>2017</v>
      </c>
      <c r="E124" s="11">
        <v>3.1309999999999998</v>
      </c>
      <c r="F124" s="11">
        <v>101.54900000000001</v>
      </c>
      <c r="G124" s="11">
        <v>27.4</v>
      </c>
      <c r="H124" s="1" t="s">
        <v>0</v>
      </c>
      <c r="I124">
        <v>47.5</v>
      </c>
      <c r="J124" t="s">
        <v>6</v>
      </c>
      <c r="K124" t="s">
        <v>6</v>
      </c>
      <c r="L124">
        <v>27.6</v>
      </c>
      <c r="M124">
        <f t="shared" si="7"/>
        <v>1</v>
      </c>
    </row>
    <row r="125" spans="1:13" x14ac:dyDescent="0.2">
      <c r="A125" s="9">
        <v>42859</v>
      </c>
      <c r="B125">
        <f t="shared" si="4"/>
        <v>4</v>
      </c>
      <c r="C125">
        <f t="shared" si="5"/>
        <v>5</v>
      </c>
      <c r="D125">
        <f t="shared" si="6"/>
        <v>2017</v>
      </c>
      <c r="E125" s="11">
        <v>3.1309999999999998</v>
      </c>
      <c r="F125" s="11">
        <v>101.54900000000001</v>
      </c>
      <c r="G125" s="11">
        <v>27.4</v>
      </c>
      <c r="H125" s="1" t="s">
        <v>0</v>
      </c>
      <c r="I125">
        <v>16.8</v>
      </c>
      <c r="J125" t="s">
        <v>6</v>
      </c>
      <c r="K125">
        <v>22.7</v>
      </c>
      <c r="L125">
        <v>26.6</v>
      </c>
      <c r="M125">
        <f t="shared" si="7"/>
        <v>1</v>
      </c>
    </row>
    <row r="126" spans="1:13" x14ac:dyDescent="0.2">
      <c r="A126" s="9">
        <v>42860</v>
      </c>
      <c r="B126">
        <f t="shared" si="4"/>
        <v>5</v>
      </c>
      <c r="C126">
        <f t="shared" si="5"/>
        <v>5</v>
      </c>
      <c r="D126">
        <f t="shared" si="6"/>
        <v>2017</v>
      </c>
      <c r="E126" s="11">
        <v>3.1309999999999998</v>
      </c>
      <c r="F126" s="11">
        <v>101.54900000000001</v>
      </c>
      <c r="G126" s="11">
        <v>27.4</v>
      </c>
      <c r="H126" s="1" t="s">
        <v>0</v>
      </c>
      <c r="I126">
        <v>27.7</v>
      </c>
      <c r="J126" t="s">
        <v>6</v>
      </c>
      <c r="K126">
        <v>24.3</v>
      </c>
      <c r="L126">
        <v>27.8</v>
      </c>
      <c r="M126">
        <f t="shared" si="7"/>
        <v>1</v>
      </c>
    </row>
    <row r="127" spans="1:13" x14ac:dyDescent="0.2">
      <c r="A127" s="9">
        <v>42861</v>
      </c>
      <c r="B127">
        <f t="shared" si="4"/>
        <v>6</v>
      </c>
      <c r="C127">
        <f t="shared" si="5"/>
        <v>5</v>
      </c>
      <c r="D127">
        <f t="shared" si="6"/>
        <v>2017</v>
      </c>
      <c r="E127" s="11">
        <v>3.1309999999999998</v>
      </c>
      <c r="F127" s="11">
        <v>101.54900000000001</v>
      </c>
      <c r="G127" s="11">
        <v>27.4</v>
      </c>
      <c r="H127" s="1" t="s">
        <v>0</v>
      </c>
      <c r="I127">
        <v>8.9</v>
      </c>
      <c r="J127" t="s">
        <v>6</v>
      </c>
      <c r="K127">
        <v>24.8</v>
      </c>
      <c r="L127">
        <v>27.3</v>
      </c>
      <c r="M127">
        <f t="shared" si="7"/>
        <v>1</v>
      </c>
    </row>
    <row r="128" spans="1:13" x14ac:dyDescent="0.2">
      <c r="A128" s="9">
        <v>42862</v>
      </c>
      <c r="B128">
        <f t="shared" si="4"/>
        <v>7</v>
      </c>
      <c r="C128">
        <f t="shared" si="5"/>
        <v>5</v>
      </c>
      <c r="D128">
        <f t="shared" si="6"/>
        <v>2017</v>
      </c>
      <c r="E128" s="11">
        <v>3.1309999999999998</v>
      </c>
      <c r="F128" s="11">
        <v>101.54900000000001</v>
      </c>
      <c r="G128" s="11">
        <v>27.4</v>
      </c>
      <c r="H128" s="1" t="s">
        <v>0</v>
      </c>
      <c r="I128">
        <v>2.2999999999999998</v>
      </c>
      <c r="J128" t="s">
        <v>6</v>
      </c>
      <c r="K128">
        <v>24.5</v>
      </c>
      <c r="L128">
        <v>27.3</v>
      </c>
      <c r="M128">
        <f t="shared" si="7"/>
        <v>1</v>
      </c>
    </row>
    <row r="129" spans="1:13" x14ac:dyDescent="0.2">
      <c r="A129" s="9">
        <v>42863</v>
      </c>
      <c r="B129">
        <f t="shared" si="4"/>
        <v>8</v>
      </c>
      <c r="C129">
        <f t="shared" si="5"/>
        <v>5</v>
      </c>
      <c r="D129">
        <f t="shared" si="6"/>
        <v>2017</v>
      </c>
      <c r="E129" s="11">
        <v>3.1309999999999998</v>
      </c>
      <c r="F129" s="11">
        <v>101.54900000000001</v>
      </c>
      <c r="G129" s="11">
        <v>27.4</v>
      </c>
      <c r="H129" s="1" t="s">
        <v>0</v>
      </c>
      <c r="I129">
        <v>1.5</v>
      </c>
      <c r="J129" t="s">
        <v>6</v>
      </c>
      <c r="K129">
        <v>24.8</v>
      </c>
      <c r="L129">
        <v>27.6</v>
      </c>
      <c r="M129">
        <f t="shared" si="7"/>
        <v>1</v>
      </c>
    </row>
    <row r="130" spans="1:13" x14ac:dyDescent="0.2">
      <c r="A130" s="9">
        <v>42864</v>
      </c>
      <c r="B130">
        <f t="shared" si="4"/>
        <v>9</v>
      </c>
      <c r="C130">
        <f t="shared" si="5"/>
        <v>5</v>
      </c>
      <c r="D130">
        <f t="shared" si="6"/>
        <v>2017</v>
      </c>
      <c r="E130" s="11">
        <v>3.1309999999999998</v>
      </c>
      <c r="F130" s="11">
        <v>101.54900000000001</v>
      </c>
      <c r="G130" s="11">
        <v>27.4</v>
      </c>
      <c r="H130" s="1" t="s">
        <v>0</v>
      </c>
      <c r="I130">
        <v>0</v>
      </c>
      <c r="J130" t="s">
        <v>6</v>
      </c>
      <c r="K130" t="s">
        <v>6</v>
      </c>
      <c r="L130">
        <v>27.9</v>
      </c>
      <c r="M130">
        <f t="shared" si="7"/>
        <v>0</v>
      </c>
    </row>
    <row r="131" spans="1:13" x14ac:dyDescent="0.2">
      <c r="A131" s="9">
        <v>42865</v>
      </c>
      <c r="B131">
        <f t="shared" ref="B131:B194" si="8">DAY(A131)</f>
        <v>10</v>
      </c>
      <c r="C131">
        <f t="shared" ref="C131:C194" si="9">MONTH(A131)</f>
        <v>5</v>
      </c>
      <c r="D131">
        <f t="shared" ref="D131:D194" si="10">YEAR(A131)</f>
        <v>2017</v>
      </c>
      <c r="E131" s="11">
        <v>3.1309999999999998</v>
      </c>
      <c r="F131" s="11">
        <v>101.54900000000001</v>
      </c>
      <c r="G131" s="11">
        <v>27.4</v>
      </c>
      <c r="H131" s="1" t="s">
        <v>0</v>
      </c>
      <c r="I131">
        <v>0.3</v>
      </c>
      <c r="J131" t="s">
        <v>6</v>
      </c>
      <c r="K131" t="s">
        <v>6</v>
      </c>
      <c r="L131">
        <v>26.5</v>
      </c>
      <c r="M131">
        <f t="shared" ref="M131:M194" si="11">IF(ISNUMBER(I131), IF(I131&gt;0, 1, 0), "")</f>
        <v>1</v>
      </c>
    </row>
    <row r="132" spans="1:13" x14ac:dyDescent="0.2">
      <c r="A132" s="9">
        <v>42866</v>
      </c>
      <c r="B132">
        <f t="shared" si="8"/>
        <v>11</v>
      </c>
      <c r="C132">
        <f t="shared" si="9"/>
        <v>5</v>
      </c>
      <c r="D132">
        <f t="shared" si="10"/>
        <v>2017</v>
      </c>
      <c r="E132" s="11">
        <v>3.1309999999999998</v>
      </c>
      <c r="F132" s="11">
        <v>101.54900000000001</v>
      </c>
      <c r="G132" s="11">
        <v>27.4</v>
      </c>
      <c r="H132" s="1" t="s">
        <v>0</v>
      </c>
      <c r="I132">
        <v>13.2</v>
      </c>
      <c r="J132" t="s">
        <v>6</v>
      </c>
      <c r="K132">
        <v>24.3</v>
      </c>
      <c r="L132">
        <v>28.6</v>
      </c>
      <c r="M132">
        <f t="shared" si="11"/>
        <v>1</v>
      </c>
    </row>
    <row r="133" spans="1:13" x14ac:dyDescent="0.2">
      <c r="A133" s="9">
        <v>42867</v>
      </c>
      <c r="B133">
        <f t="shared" si="8"/>
        <v>12</v>
      </c>
      <c r="C133">
        <f t="shared" si="9"/>
        <v>5</v>
      </c>
      <c r="D133">
        <f t="shared" si="10"/>
        <v>2017</v>
      </c>
      <c r="E133" s="11">
        <v>3.1309999999999998</v>
      </c>
      <c r="F133" s="11">
        <v>101.54900000000001</v>
      </c>
      <c r="G133" s="11">
        <v>27.4</v>
      </c>
      <c r="H133" s="1" t="s">
        <v>0</v>
      </c>
      <c r="I133">
        <v>0.3</v>
      </c>
      <c r="J133" t="s">
        <v>6</v>
      </c>
      <c r="K133">
        <v>24.9</v>
      </c>
      <c r="L133">
        <v>29.5</v>
      </c>
      <c r="M133">
        <f t="shared" si="11"/>
        <v>1</v>
      </c>
    </row>
    <row r="134" spans="1:13" x14ac:dyDescent="0.2">
      <c r="A134" s="9">
        <v>42868</v>
      </c>
      <c r="B134">
        <f t="shared" si="8"/>
        <v>13</v>
      </c>
      <c r="C134">
        <f t="shared" si="9"/>
        <v>5</v>
      </c>
      <c r="D134">
        <f t="shared" si="10"/>
        <v>2017</v>
      </c>
      <c r="E134" s="11">
        <v>3.1309999999999998</v>
      </c>
      <c r="F134" s="11">
        <v>101.54900000000001</v>
      </c>
      <c r="G134" s="11">
        <v>27.4</v>
      </c>
      <c r="H134" s="1" t="s">
        <v>0</v>
      </c>
      <c r="I134">
        <v>0</v>
      </c>
      <c r="J134" t="s">
        <v>6</v>
      </c>
      <c r="K134">
        <v>25.1</v>
      </c>
      <c r="L134">
        <v>28.9</v>
      </c>
      <c r="M134">
        <f t="shared" si="11"/>
        <v>0</v>
      </c>
    </row>
    <row r="135" spans="1:13" x14ac:dyDescent="0.2">
      <c r="A135" s="9">
        <v>42869</v>
      </c>
      <c r="B135">
        <f t="shared" si="8"/>
        <v>14</v>
      </c>
      <c r="C135">
        <f t="shared" si="9"/>
        <v>5</v>
      </c>
      <c r="D135">
        <f t="shared" si="10"/>
        <v>2017</v>
      </c>
      <c r="E135" s="11">
        <v>3.1309999999999998</v>
      </c>
      <c r="F135" s="11">
        <v>101.54900000000001</v>
      </c>
      <c r="G135" s="11">
        <v>27.4</v>
      </c>
      <c r="H135" s="1" t="s">
        <v>0</v>
      </c>
      <c r="I135">
        <v>0</v>
      </c>
      <c r="J135" t="s">
        <v>6</v>
      </c>
      <c r="K135" t="s">
        <v>6</v>
      </c>
      <c r="L135">
        <v>29.3</v>
      </c>
      <c r="M135">
        <f t="shared" si="11"/>
        <v>0</v>
      </c>
    </row>
    <row r="136" spans="1:13" x14ac:dyDescent="0.2">
      <c r="A136" s="9">
        <v>42870</v>
      </c>
      <c r="B136">
        <f t="shared" si="8"/>
        <v>15</v>
      </c>
      <c r="C136">
        <f t="shared" si="9"/>
        <v>5</v>
      </c>
      <c r="D136">
        <f t="shared" si="10"/>
        <v>2017</v>
      </c>
      <c r="E136" s="11">
        <v>3.1309999999999998</v>
      </c>
      <c r="F136" s="11">
        <v>101.54900000000001</v>
      </c>
      <c r="G136" s="11">
        <v>27.4</v>
      </c>
      <c r="H136" s="1" t="s">
        <v>0</v>
      </c>
      <c r="I136">
        <v>0</v>
      </c>
      <c r="J136" t="s">
        <v>6</v>
      </c>
      <c r="K136">
        <v>24.6</v>
      </c>
      <c r="L136">
        <v>29.3</v>
      </c>
      <c r="M136">
        <f t="shared" si="11"/>
        <v>0</v>
      </c>
    </row>
    <row r="137" spans="1:13" x14ac:dyDescent="0.2">
      <c r="A137" s="9">
        <v>42871</v>
      </c>
      <c r="B137">
        <f t="shared" si="8"/>
        <v>16</v>
      </c>
      <c r="C137">
        <f t="shared" si="9"/>
        <v>5</v>
      </c>
      <c r="D137">
        <f t="shared" si="10"/>
        <v>2017</v>
      </c>
      <c r="E137" s="11">
        <v>3.1309999999999998</v>
      </c>
      <c r="F137" s="11">
        <v>101.54900000000001</v>
      </c>
      <c r="G137" s="11">
        <v>27.4</v>
      </c>
      <c r="H137" s="1" t="s">
        <v>0</v>
      </c>
      <c r="I137">
        <v>0</v>
      </c>
      <c r="J137" t="s">
        <v>6</v>
      </c>
      <c r="K137">
        <v>25.9</v>
      </c>
      <c r="L137">
        <v>29.3</v>
      </c>
      <c r="M137">
        <f t="shared" si="11"/>
        <v>0</v>
      </c>
    </row>
    <row r="138" spans="1:13" x14ac:dyDescent="0.2">
      <c r="A138" s="9">
        <v>42872</v>
      </c>
      <c r="B138">
        <f t="shared" si="8"/>
        <v>17</v>
      </c>
      <c r="C138">
        <f t="shared" si="9"/>
        <v>5</v>
      </c>
      <c r="D138">
        <f t="shared" si="10"/>
        <v>2017</v>
      </c>
      <c r="E138" s="11">
        <v>3.1309999999999998</v>
      </c>
      <c r="F138" s="11">
        <v>101.54900000000001</v>
      </c>
      <c r="G138" s="11">
        <v>27.4</v>
      </c>
      <c r="H138" s="1" t="s">
        <v>0</v>
      </c>
      <c r="I138">
        <v>0</v>
      </c>
      <c r="J138" t="s">
        <v>6</v>
      </c>
      <c r="K138" t="s">
        <v>6</v>
      </c>
      <c r="L138">
        <v>30.3</v>
      </c>
      <c r="M138">
        <f t="shared" si="11"/>
        <v>0</v>
      </c>
    </row>
    <row r="139" spans="1:13" x14ac:dyDescent="0.2">
      <c r="A139" s="9">
        <v>42873</v>
      </c>
      <c r="B139">
        <f t="shared" si="8"/>
        <v>18</v>
      </c>
      <c r="C139">
        <f t="shared" si="9"/>
        <v>5</v>
      </c>
      <c r="D139">
        <f t="shared" si="10"/>
        <v>2017</v>
      </c>
      <c r="E139" s="11">
        <v>3.1309999999999998</v>
      </c>
      <c r="F139" s="11">
        <v>101.54900000000001</v>
      </c>
      <c r="G139" s="11">
        <v>27.4</v>
      </c>
      <c r="H139" s="1" t="s">
        <v>0</v>
      </c>
      <c r="I139">
        <v>0</v>
      </c>
      <c r="J139" t="s">
        <v>6</v>
      </c>
      <c r="K139">
        <v>24.5</v>
      </c>
      <c r="L139">
        <v>28.8</v>
      </c>
      <c r="M139">
        <f t="shared" si="11"/>
        <v>0</v>
      </c>
    </row>
    <row r="140" spans="1:13" x14ac:dyDescent="0.2">
      <c r="A140" s="9">
        <v>42874</v>
      </c>
      <c r="B140">
        <f t="shared" si="8"/>
        <v>19</v>
      </c>
      <c r="C140">
        <f t="shared" si="9"/>
        <v>5</v>
      </c>
      <c r="D140">
        <f t="shared" si="10"/>
        <v>2017</v>
      </c>
      <c r="E140" s="11">
        <v>3.1309999999999998</v>
      </c>
      <c r="F140" s="11">
        <v>101.54900000000001</v>
      </c>
      <c r="G140" s="11">
        <v>27.4</v>
      </c>
      <c r="H140" s="1" t="s">
        <v>0</v>
      </c>
      <c r="I140">
        <v>0.3</v>
      </c>
      <c r="J140" t="s">
        <v>6</v>
      </c>
      <c r="K140" t="s">
        <v>6</v>
      </c>
      <c r="L140">
        <v>30.3</v>
      </c>
      <c r="M140">
        <f t="shared" si="11"/>
        <v>1</v>
      </c>
    </row>
    <row r="141" spans="1:13" x14ac:dyDescent="0.2">
      <c r="A141" s="9">
        <v>42875</v>
      </c>
      <c r="B141">
        <f t="shared" si="8"/>
        <v>20</v>
      </c>
      <c r="C141">
        <f t="shared" si="9"/>
        <v>5</v>
      </c>
      <c r="D141">
        <f t="shared" si="10"/>
        <v>2017</v>
      </c>
      <c r="E141" s="11">
        <v>3.1309999999999998</v>
      </c>
      <c r="F141" s="11">
        <v>101.54900000000001</v>
      </c>
      <c r="G141" s="11">
        <v>27.4</v>
      </c>
      <c r="H141" s="1" t="s">
        <v>0</v>
      </c>
      <c r="I141">
        <v>5.8</v>
      </c>
      <c r="J141" t="s">
        <v>6</v>
      </c>
      <c r="K141">
        <v>24.4</v>
      </c>
      <c r="L141">
        <v>28.9</v>
      </c>
      <c r="M141">
        <f t="shared" si="11"/>
        <v>1</v>
      </c>
    </row>
    <row r="142" spans="1:13" x14ac:dyDescent="0.2">
      <c r="A142" s="9">
        <v>42876</v>
      </c>
      <c r="B142">
        <f t="shared" si="8"/>
        <v>21</v>
      </c>
      <c r="C142">
        <f t="shared" si="9"/>
        <v>5</v>
      </c>
      <c r="D142">
        <f t="shared" si="10"/>
        <v>2017</v>
      </c>
      <c r="E142" s="11">
        <v>3.1309999999999998</v>
      </c>
      <c r="F142" s="11">
        <v>101.54900000000001</v>
      </c>
      <c r="G142" s="11">
        <v>27.4</v>
      </c>
      <c r="H142" s="1" t="s">
        <v>0</v>
      </c>
      <c r="I142">
        <v>0</v>
      </c>
      <c r="J142" t="s">
        <v>6</v>
      </c>
      <c r="K142">
        <v>24.8</v>
      </c>
      <c r="L142">
        <v>29.7</v>
      </c>
      <c r="M142">
        <f t="shared" si="11"/>
        <v>0</v>
      </c>
    </row>
    <row r="143" spans="1:13" x14ac:dyDescent="0.2">
      <c r="A143" s="9">
        <v>42877</v>
      </c>
      <c r="B143">
        <f t="shared" si="8"/>
        <v>22</v>
      </c>
      <c r="C143">
        <f t="shared" si="9"/>
        <v>5</v>
      </c>
      <c r="D143">
        <f t="shared" si="10"/>
        <v>2017</v>
      </c>
      <c r="E143" s="11">
        <v>3.1309999999999998</v>
      </c>
      <c r="F143" s="11">
        <v>101.54900000000001</v>
      </c>
      <c r="G143" s="11">
        <v>27.4</v>
      </c>
      <c r="H143" s="1" t="s">
        <v>0</v>
      </c>
      <c r="I143">
        <v>0.5</v>
      </c>
      <c r="J143" t="s">
        <v>6</v>
      </c>
      <c r="K143" t="s">
        <v>6</v>
      </c>
      <c r="L143">
        <v>27.3</v>
      </c>
      <c r="M143">
        <f t="shared" si="11"/>
        <v>1</v>
      </c>
    </row>
    <row r="144" spans="1:13" x14ac:dyDescent="0.2">
      <c r="A144" s="9">
        <v>42878</v>
      </c>
      <c r="B144">
        <f t="shared" si="8"/>
        <v>23</v>
      </c>
      <c r="C144">
        <f t="shared" si="9"/>
        <v>5</v>
      </c>
      <c r="D144">
        <f t="shared" si="10"/>
        <v>2017</v>
      </c>
      <c r="E144" s="11">
        <v>3.1309999999999998</v>
      </c>
      <c r="F144" s="11">
        <v>101.54900000000001</v>
      </c>
      <c r="G144" s="11">
        <v>27.4</v>
      </c>
      <c r="H144" s="1" t="s">
        <v>0</v>
      </c>
      <c r="I144">
        <v>11.9</v>
      </c>
      <c r="J144" t="s">
        <v>6</v>
      </c>
      <c r="K144">
        <v>25.4</v>
      </c>
      <c r="L144">
        <v>28.2</v>
      </c>
      <c r="M144">
        <f t="shared" si="11"/>
        <v>1</v>
      </c>
    </row>
    <row r="145" spans="1:13" x14ac:dyDescent="0.2">
      <c r="A145" s="9">
        <v>42879</v>
      </c>
      <c r="B145">
        <f t="shared" si="8"/>
        <v>24</v>
      </c>
      <c r="C145">
        <f t="shared" si="9"/>
        <v>5</v>
      </c>
      <c r="D145">
        <f t="shared" si="10"/>
        <v>2017</v>
      </c>
      <c r="E145" s="11">
        <v>3.1309999999999998</v>
      </c>
      <c r="F145" s="11">
        <v>101.54900000000001</v>
      </c>
      <c r="G145" s="11">
        <v>27.4</v>
      </c>
      <c r="H145" s="1" t="s">
        <v>0</v>
      </c>
      <c r="I145">
        <v>7.4</v>
      </c>
      <c r="J145" t="s">
        <v>6</v>
      </c>
      <c r="K145">
        <v>25.7</v>
      </c>
      <c r="L145">
        <v>28.4</v>
      </c>
      <c r="M145">
        <f t="shared" si="11"/>
        <v>1</v>
      </c>
    </row>
    <row r="146" spans="1:13" x14ac:dyDescent="0.2">
      <c r="A146" s="9">
        <v>42880</v>
      </c>
      <c r="B146">
        <f t="shared" si="8"/>
        <v>25</v>
      </c>
      <c r="C146">
        <f t="shared" si="9"/>
        <v>5</v>
      </c>
      <c r="D146">
        <f t="shared" si="10"/>
        <v>2017</v>
      </c>
      <c r="E146" s="11">
        <v>3.1309999999999998</v>
      </c>
      <c r="F146" s="11">
        <v>101.54900000000001</v>
      </c>
      <c r="G146" s="11">
        <v>27.4</v>
      </c>
      <c r="H146" s="1" t="s">
        <v>0</v>
      </c>
      <c r="I146">
        <v>0</v>
      </c>
      <c r="J146" t="s">
        <v>6</v>
      </c>
      <c r="K146" t="s">
        <v>6</v>
      </c>
      <c r="L146">
        <v>28.2</v>
      </c>
      <c r="M146">
        <f t="shared" si="11"/>
        <v>0</v>
      </c>
    </row>
    <row r="147" spans="1:13" x14ac:dyDescent="0.2">
      <c r="A147" s="9">
        <v>42881</v>
      </c>
      <c r="B147">
        <f t="shared" si="8"/>
        <v>26</v>
      </c>
      <c r="C147">
        <f t="shared" si="9"/>
        <v>5</v>
      </c>
      <c r="D147">
        <f t="shared" si="10"/>
        <v>2017</v>
      </c>
      <c r="E147" s="11">
        <v>3.1309999999999998</v>
      </c>
      <c r="F147" s="11">
        <v>101.54900000000001</v>
      </c>
      <c r="G147" s="11">
        <v>27.4</v>
      </c>
      <c r="H147" s="1" t="s">
        <v>0</v>
      </c>
      <c r="I147">
        <v>2.2999999999999998</v>
      </c>
      <c r="J147" t="s">
        <v>6</v>
      </c>
      <c r="K147">
        <v>25.5</v>
      </c>
      <c r="L147">
        <v>28.7</v>
      </c>
      <c r="M147">
        <f t="shared" si="11"/>
        <v>1</v>
      </c>
    </row>
    <row r="148" spans="1:13" x14ac:dyDescent="0.2">
      <c r="A148" s="9">
        <v>42882</v>
      </c>
      <c r="B148">
        <f t="shared" si="8"/>
        <v>27</v>
      </c>
      <c r="C148">
        <f t="shared" si="9"/>
        <v>5</v>
      </c>
      <c r="D148">
        <f t="shared" si="10"/>
        <v>2017</v>
      </c>
      <c r="E148" s="11">
        <v>3.1309999999999998</v>
      </c>
      <c r="F148" s="11">
        <v>101.54900000000001</v>
      </c>
      <c r="G148" s="11">
        <v>27.4</v>
      </c>
      <c r="H148" s="1" t="s">
        <v>0</v>
      </c>
      <c r="I148">
        <v>0</v>
      </c>
      <c r="J148" t="s">
        <v>6</v>
      </c>
      <c r="K148">
        <v>25.8</v>
      </c>
      <c r="L148">
        <v>27.9</v>
      </c>
      <c r="M148">
        <f t="shared" si="11"/>
        <v>0</v>
      </c>
    </row>
    <row r="149" spans="1:13" x14ac:dyDescent="0.2">
      <c r="A149" s="9">
        <v>42883</v>
      </c>
      <c r="B149">
        <f t="shared" si="8"/>
        <v>28</v>
      </c>
      <c r="C149">
        <f t="shared" si="9"/>
        <v>5</v>
      </c>
      <c r="D149">
        <f t="shared" si="10"/>
        <v>2017</v>
      </c>
      <c r="E149" s="11">
        <v>3.1309999999999998</v>
      </c>
      <c r="F149" s="11">
        <v>101.54900000000001</v>
      </c>
      <c r="G149" s="11">
        <v>27.4</v>
      </c>
      <c r="H149" s="1" t="s">
        <v>0</v>
      </c>
      <c r="I149">
        <v>0</v>
      </c>
      <c r="J149" t="s">
        <v>6</v>
      </c>
      <c r="K149" t="s">
        <v>6</v>
      </c>
      <c r="L149">
        <v>29.3</v>
      </c>
      <c r="M149">
        <f t="shared" si="11"/>
        <v>0</v>
      </c>
    </row>
    <row r="150" spans="1:13" x14ac:dyDescent="0.2">
      <c r="A150" s="9">
        <v>42884</v>
      </c>
      <c r="B150">
        <f t="shared" si="8"/>
        <v>29</v>
      </c>
      <c r="C150">
        <f t="shared" si="9"/>
        <v>5</v>
      </c>
      <c r="D150">
        <f t="shared" si="10"/>
        <v>2017</v>
      </c>
      <c r="E150" s="11">
        <v>3.1309999999999998</v>
      </c>
      <c r="F150" s="11">
        <v>101.54900000000001</v>
      </c>
      <c r="G150" s="11">
        <v>27.4</v>
      </c>
      <c r="H150" s="1" t="s">
        <v>0</v>
      </c>
      <c r="I150">
        <v>0</v>
      </c>
      <c r="J150" t="s">
        <v>6</v>
      </c>
      <c r="K150" t="s">
        <v>6</v>
      </c>
      <c r="L150">
        <v>28.5</v>
      </c>
      <c r="M150">
        <f t="shared" si="11"/>
        <v>0</v>
      </c>
    </row>
    <row r="151" spans="1:13" x14ac:dyDescent="0.2">
      <c r="A151" s="9">
        <v>42885</v>
      </c>
      <c r="B151">
        <f t="shared" si="8"/>
        <v>30</v>
      </c>
      <c r="C151">
        <f t="shared" si="9"/>
        <v>5</v>
      </c>
      <c r="D151">
        <f t="shared" si="10"/>
        <v>2017</v>
      </c>
      <c r="E151" s="11">
        <v>3.1309999999999998</v>
      </c>
      <c r="F151" s="11">
        <v>101.54900000000001</v>
      </c>
      <c r="G151" s="11">
        <v>27.4</v>
      </c>
      <c r="H151" s="1" t="s">
        <v>0</v>
      </c>
      <c r="I151">
        <v>31.5</v>
      </c>
      <c r="J151" t="s">
        <v>6</v>
      </c>
      <c r="K151" t="s">
        <v>6</v>
      </c>
      <c r="L151">
        <v>27.7</v>
      </c>
      <c r="M151">
        <f t="shared" si="11"/>
        <v>1</v>
      </c>
    </row>
    <row r="152" spans="1:13" x14ac:dyDescent="0.2">
      <c r="A152" s="9">
        <v>42886</v>
      </c>
      <c r="B152">
        <f t="shared" si="8"/>
        <v>31</v>
      </c>
      <c r="C152">
        <f t="shared" si="9"/>
        <v>5</v>
      </c>
      <c r="D152">
        <f t="shared" si="10"/>
        <v>2017</v>
      </c>
      <c r="E152" s="11">
        <v>3.1309999999999998</v>
      </c>
      <c r="F152" s="11">
        <v>101.54900000000001</v>
      </c>
      <c r="G152" s="11">
        <v>27.4</v>
      </c>
      <c r="H152" s="1" t="s">
        <v>0</v>
      </c>
      <c r="I152">
        <v>33.299999999999997</v>
      </c>
      <c r="J152" t="s">
        <v>6</v>
      </c>
      <c r="K152">
        <v>25.8</v>
      </c>
      <c r="L152">
        <v>27.1</v>
      </c>
      <c r="M152">
        <f t="shared" si="11"/>
        <v>1</v>
      </c>
    </row>
    <row r="153" spans="1:13" x14ac:dyDescent="0.2">
      <c r="A153" s="9">
        <v>42887</v>
      </c>
      <c r="B153">
        <f t="shared" si="8"/>
        <v>1</v>
      </c>
      <c r="C153">
        <f t="shared" si="9"/>
        <v>6</v>
      </c>
      <c r="D153">
        <f t="shared" si="10"/>
        <v>2017</v>
      </c>
      <c r="E153" s="11">
        <v>3.1309999999999998</v>
      </c>
      <c r="F153" s="11">
        <v>101.54900000000001</v>
      </c>
      <c r="G153" s="11">
        <v>27.4</v>
      </c>
      <c r="H153" s="1" t="s">
        <v>0</v>
      </c>
      <c r="I153">
        <v>0</v>
      </c>
      <c r="J153" t="s">
        <v>6</v>
      </c>
      <c r="K153" t="s">
        <v>6</v>
      </c>
      <c r="L153">
        <v>28.9</v>
      </c>
      <c r="M153">
        <f t="shared" si="11"/>
        <v>0</v>
      </c>
    </row>
    <row r="154" spans="1:13" x14ac:dyDescent="0.2">
      <c r="A154" s="9">
        <v>42888</v>
      </c>
      <c r="B154">
        <f t="shared" si="8"/>
        <v>2</v>
      </c>
      <c r="C154">
        <f t="shared" si="9"/>
        <v>6</v>
      </c>
      <c r="D154">
        <f t="shared" si="10"/>
        <v>2017</v>
      </c>
      <c r="E154" s="11">
        <v>3.1309999999999998</v>
      </c>
      <c r="F154" s="11">
        <v>101.54900000000001</v>
      </c>
      <c r="G154" s="11">
        <v>27.4</v>
      </c>
      <c r="H154" s="1" t="s">
        <v>0</v>
      </c>
      <c r="I154">
        <v>35.6</v>
      </c>
      <c r="J154" t="s">
        <v>6</v>
      </c>
      <c r="K154">
        <v>24.9</v>
      </c>
      <c r="L154">
        <v>28.6</v>
      </c>
      <c r="M154">
        <f t="shared" si="11"/>
        <v>1</v>
      </c>
    </row>
    <row r="155" spans="1:13" x14ac:dyDescent="0.2">
      <c r="A155" s="9">
        <v>42889</v>
      </c>
      <c r="B155">
        <f t="shared" si="8"/>
        <v>3</v>
      </c>
      <c r="C155">
        <f t="shared" si="9"/>
        <v>6</v>
      </c>
      <c r="D155">
        <f t="shared" si="10"/>
        <v>2017</v>
      </c>
      <c r="E155" s="11">
        <v>3.1309999999999998</v>
      </c>
      <c r="F155" s="11">
        <v>101.54900000000001</v>
      </c>
      <c r="G155" s="11">
        <v>27.4</v>
      </c>
      <c r="H155" s="1" t="s">
        <v>0</v>
      </c>
      <c r="I155">
        <v>0.3</v>
      </c>
      <c r="J155" t="s">
        <v>6</v>
      </c>
      <c r="K155" t="s">
        <v>6</v>
      </c>
      <c r="L155">
        <v>29.4</v>
      </c>
      <c r="M155">
        <f t="shared" si="11"/>
        <v>1</v>
      </c>
    </row>
    <row r="156" spans="1:13" x14ac:dyDescent="0.2">
      <c r="A156" s="9">
        <v>42890</v>
      </c>
      <c r="B156">
        <f t="shared" si="8"/>
        <v>4</v>
      </c>
      <c r="C156">
        <f t="shared" si="9"/>
        <v>6</v>
      </c>
      <c r="D156">
        <f t="shared" si="10"/>
        <v>2017</v>
      </c>
      <c r="E156" s="11">
        <v>3.1309999999999998</v>
      </c>
      <c r="F156" s="11">
        <v>101.54900000000001</v>
      </c>
      <c r="G156" s="11">
        <v>27.4</v>
      </c>
      <c r="H156" s="1" t="s">
        <v>0</v>
      </c>
      <c r="I156">
        <v>5.8</v>
      </c>
      <c r="J156" t="s">
        <v>6</v>
      </c>
      <c r="K156">
        <v>22.8</v>
      </c>
      <c r="L156">
        <v>28.3</v>
      </c>
      <c r="M156">
        <f t="shared" si="11"/>
        <v>1</v>
      </c>
    </row>
    <row r="157" spans="1:13" x14ac:dyDescent="0.2">
      <c r="A157" s="9">
        <v>42891</v>
      </c>
      <c r="B157">
        <f t="shared" si="8"/>
        <v>5</v>
      </c>
      <c r="C157">
        <f t="shared" si="9"/>
        <v>6</v>
      </c>
      <c r="D157">
        <f t="shared" si="10"/>
        <v>2017</v>
      </c>
      <c r="E157" s="11">
        <v>3.1309999999999998</v>
      </c>
      <c r="F157" s="11">
        <v>101.54900000000001</v>
      </c>
      <c r="G157" s="11">
        <v>27.4</v>
      </c>
      <c r="H157" s="1" t="s">
        <v>0</v>
      </c>
      <c r="I157">
        <v>0</v>
      </c>
      <c r="J157" t="s">
        <v>6</v>
      </c>
      <c r="K157">
        <v>24.8</v>
      </c>
      <c r="L157">
        <v>29.8</v>
      </c>
      <c r="M157">
        <f t="shared" si="11"/>
        <v>0</v>
      </c>
    </row>
    <row r="158" spans="1:13" x14ac:dyDescent="0.2">
      <c r="A158" s="9">
        <v>42892</v>
      </c>
      <c r="B158">
        <f t="shared" si="8"/>
        <v>6</v>
      </c>
      <c r="C158">
        <f t="shared" si="9"/>
        <v>6</v>
      </c>
      <c r="D158">
        <f t="shared" si="10"/>
        <v>2017</v>
      </c>
      <c r="E158" s="11">
        <v>3.1309999999999998</v>
      </c>
      <c r="F158" s="11">
        <v>101.54900000000001</v>
      </c>
      <c r="G158" s="11">
        <v>27.4</v>
      </c>
      <c r="H158" s="1" t="s">
        <v>0</v>
      </c>
      <c r="I158">
        <v>0</v>
      </c>
      <c r="J158" t="s">
        <v>6</v>
      </c>
      <c r="K158" t="s">
        <v>6</v>
      </c>
      <c r="L158">
        <v>29.7</v>
      </c>
      <c r="M158">
        <f t="shared" si="11"/>
        <v>0</v>
      </c>
    </row>
    <row r="159" spans="1:13" x14ac:dyDescent="0.2">
      <c r="A159" s="9">
        <v>42893</v>
      </c>
      <c r="B159">
        <f t="shared" si="8"/>
        <v>7</v>
      </c>
      <c r="C159">
        <f t="shared" si="9"/>
        <v>6</v>
      </c>
      <c r="D159">
        <f t="shared" si="10"/>
        <v>2017</v>
      </c>
      <c r="E159" s="11">
        <v>3.1309999999999998</v>
      </c>
      <c r="F159" s="11">
        <v>101.54900000000001</v>
      </c>
      <c r="G159" s="11">
        <v>27.4</v>
      </c>
      <c r="H159" s="1" t="s">
        <v>0</v>
      </c>
      <c r="I159">
        <v>0</v>
      </c>
      <c r="J159" t="s">
        <v>6</v>
      </c>
      <c r="K159">
        <v>25.9</v>
      </c>
      <c r="L159">
        <v>29.1</v>
      </c>
      <c r="M159">
        <f t="shared" si="11"/>
        <v>0</v>
      </c>
    </row>
    <row r="160" spans="1:13" x14ac:dyDescent="0.2">
      <c r="A160" s="9">
        <v>42894</v>
      </c>
      <c r="B160">
        <f t="shared" si="8"/>
        <v>8</v>
      </c>
      <c r="C160">
        <f t="shared" si="9"/>
        <v>6</v>
      </c>
      <c r="D160">
        <f t="shared" si="10"/>
        <v>2017</v>
      </c>
      <c r="E160" s="11">
        <v>3.1309999999999998</v>
      </c>
      <c r="F160" s="11">
        <v>101.54900000000001</v>
      </c>
      <c r="G160" s="11">
        <v>27.4</v>
      </c>
      <c r="H160" s="1" t="s">
        <v>0</v>
      </c>
      <c r="I160">
        <v>0</v>
      </c>
      <c r="J160" t="s">
        <v>6</v>
      </c>
      <c r="K160" t="s">
        <v>6</v>
      </c>
      <c r="L160">
        <v>28.6</v>
      </c>
      <c r="M160">
        <f t="shared" si="11"/>
        <v>0</v>
      </c>
    </row>
    <row r="161" spans="1:13" x14ac:dyDescent="0.2">
      <c r="A161" s="9">
        <v>42895</v>
      </c>
      <c r="B161">
        <f t="shared" si="8"/>
        <v>9</v>
      </c>
      <c r="C161">
        <f t="shared" si="9"/>
        <v>6</v>
      </c>
      <c r="D161">
        <f t="shared" si="10"/>
        <v>2017</v>
      </c>
      <c r="E161" s="11">
        <v>3.1309999999999998</v>
      </c>
      <c r="F161" s="11">
        <v>101.54900000000001</v>
      </c>
      <c r="G161" s="11">
        <v>27.4</v>
      </c>
      <c r="H161" s="1" t="s">
        <v>0</v>
      </c>
      <c r="I161">
        <v>0</v>
      </c>
      <c r="J161" t="s">
        <v>6</v>
      </c>
      <c r="K161">
        <v>25.4</v>
      </c>
      <c r="L161">
        <v>30.4</v>
      </c>
      <c r="M161">
        <f t="shared" si="11"/>
        <v>0</v>
      </c>
    </row>
    <row r="162" spans="1:13" x14ac:dyDescent="0.2">
      <c r="A162" s="9">
        <v>42896</v>
      </c>
      <c r="B162">
        <f t="shared" si="8"/>
        <v>10</v>
      </c>
      <c r="C162">
        <f t="shared" si="9"/>
        <v>6</v>
      </c>
      <c r="D162">
        <f t="shared" si="10"/>
        <v>2017</v>
      </c>
      <c r="E162" s="11">
        <v>3.1309999999999998</v>
      </c>
      <c r="F162" s="11">
        <v>101.54900000000001</v>
      </c>
      <c r="G162" s="11">
        <v>27.4</v>
      </c>
      <c r="H162" s="1" t="s">
        <v>0</v>
      </c>
      <c r="I162">
        <v>0</v>
      </c>
      <c r="J162" t="s">
        <v>6</v>
      </c>
      <c r="K162" t="s">
        <v>6</v>
      </c>
      <c r="L162">
        <v>27.6</v>
      </c>
      <c r="M162">
        <f t="shared" si="11"/>
        <v>0</v>
      </c>
    </row>
    <row r="163" spans="1:13" x14ac:dyDescent="0.2">
      <c r="A163" s="9">
        <v>42897</v>
      </c>
      <c r="B163">
        <f t="shared" si="8"/>
        <v>11</v>
      </c>
      <c r="C163">
        <f t="shared" si="9"/>
        <v>6</v>
      </c>
      <c r="D163">
        <f t="shared" si="10"/>
        <v>2017</v>
      </c>
      <c r="E163" s="11">
        <v>3.1309999999999998</v>
      </c>
      <c r="F163" s="11">
        <v>101.54900000000001</v>
      </c>
      <c r="G163" s="11">
        <v>27.4</v>
      </c>
      <c r="H163" s="1" t="s">
        <v>0</v>
      </c>
      <c r="I163">
        <v>2.5</v>
      </c>
      <c r="J163" t="s">
        <v>6</v>
      </c>
      <c r="K163">
        <v>25.3</v>
      </c>
      <c r="L163">
        <v>29.6</v>
      </c>
      <c r="M163">
        <f t="shared" si="11"/>
        <v>1</v>
      </c>
    </row>
    <row r="164" spans="1:13" x14ac:dyDescent="0.2">
      <c r="A164" s="9">
        <v>42898</v>
      </c>
      <c r="B164">
        <f t="shared" si="8"/>
        <v>12</v>
      </c>
      <c r="C164">
        <f t="shared" si="9"/>
        <v>6</v>
      </c>
      <c r="D164">
        <f t="shared" si="10"/>
        <v>2017</v>
      </c>
      <c r="E164" s="11">
        <v>3.1309999999999998</v>
      </c>
      <c r="F164" s="11">
        <v>101.54900000000001</v>
      </c>
      <c r="G164" s="11">
        <v>27.4</v>
      </c>
      <c r="H164" s="1" t="s">
        <v>0</v>
      </c>
      <c r="I164">
        <v>0</v>
      </c>
      <c r="J164" t="s">
        <v>6</v>
      </c>
      <c r="K164">
        <v>25.6</v>
      </c>
      <c r="L164">
        <v>29.1</v>
      </c>
      <c r="M164">
        <f t="shared" si="11"/>
        <v>0</v>
      </c>
    </row>
    <row r="165" spans="1:13" x14ac:dyDescent="0.2">
      <c r="A165" s="9">
        <v>42899</v>
      </c>
      <c r="B165">
        <f t="shared" si="8"/>
        <v>13</v>
      </c>
      <c r="C165">
        <f t="shared" si="9"/>
        <v>6</v>
      </c>
      <c r="D165">
        <f t="shared" si="10"/>
        <v>2017</v>
      </c>
      <c r="E165" s="11">
        <v>3.1309999999999998</v>
      </c>
      <c r="F165" s="11">
        <v>101.54900000000001</v>
      </c>
      <c r="G165" s="11">
        <v>27.4</v>
      </c>
      <c r="H165" s="1" t="s">
        <v>0</v>
      </c>
      <c r="I165">
        <v>0</v>
      </c>
      <c r="J165" t="s">
        <v>6</v>
      </c>
      <c r="K165" t="s">
        <v>6</v>
      </c>
      <c r="L165">
        <v>29.3</v>
      </c>
      <c r="M165">
        <f t="shared" si="11"/>
        <v>0</v>
      </c>
    </row>
    <row r="166" spans="1:13" x14ac:dyDescent="0.2">
      <c r="A166" s="9">
        <v>42900</v>
      </c>
      <c r="B166">
        <f t="shared" si="8"/>
        <v>14</v>
      </c>
      <c r="C166">
        <f t="shared" si="9"/>
        <v>6</v>
      </c>
      <c r="D166">
        <f t="shared" si="10"/>
        <v>2017</v>
      </c>
      <c r="E166" s="11">
        <v>3.1309999999999998</v>
      </c>
      <c r="F166" s="11">
        <v>101.54900000000001</v>
      </c>
      <c r="G166" s="11">
        <v>27.4</v>
      </c>
      <c r="H166" s="1" t="s">
        <v>0</v>
      </c>
      <c r="I166">
        <v>0</v>
      </c>
      <c r="J166" t="s">
        <v>6</v>
      </c>
      <c r="K166" t="s">
        <v>6</v>
      </c>
      <c r="L166">
        <v>28.8</v>
      </c>
      <c r="M166">
        <f t="shared" si="11"/>
        <v>0</v>
      </c>
    </row>
    <row r="167" spans="1:13" x14ac:dyDescent="0.2">
      <c r="A167" s="9">
        <v>42901</v>
      </c>
      <c r="B167">
        <f t="shared" si="8"/>
        <v>15</v>
      </c>
      <c r="C167">
        <f t="shared" si="9"/>
        <v>6</v>
      </c>
      <c r="D167">
        <f t="shared" si="10"/>
        <v>2017</v>
      </c>
      <c r="E167" s="11">
        <v>3.1309999999999998</v>
      </c>
      <c r="F167" s="11">
        <v>101.54900000000001</v>
      </c>
      <c r="G167" s="11">
        <v>27.4</v>
      </c>
      <c r="H167" s="1" t="s">
        <v>0</v>
      </c>
      <c r="I167">
        <v>0</v>
      </c>
      <c r="J167" t="s">
        <v>6</v>
      </c>
      <c r="K167" t="s">
        <v>6</v>
      </c>
      <c r="L167">
        <v>27.4</v>
      </c>
      <c r="M167">
        <f t="shared" si="11"/>
        <v>0</v>
      </c>
    </row>
    <row r="168" spans="1:13" x14ac:dyDescent="0.2">
      <c r="A168" s="9">
        <v>42902</v>
      </c>
      <c r="B168">
        <f t="shared" si="8"/>
        <v>16</v>
      </c>
      <c r="C168">
        <f t="shared" si="9"/>
        <v>6</v>
      </c>
      <c r="D168">
        <f t="shared" si="10"/>
        <v>2017</v>
      </c>
      <c r="E168" s="11">
        <v>3.1309999999999998</v>
      </c>
      <c r="F168" s="11">
        <v>101.54900000000001</v>
      </c>
      <c r="G168" s="11">
        <v>27.4</v>
      </c>
      <c r="H168" s="1" t="s">
        <v>0</v>
      </c>
      <c r="I168">
        <v>0.3</v>
      </c>
      <c r="J168" t="s">
        <v>6</v>
      </c>
      <c r="K168" t="s">
        <v>6</v>
      </c>
      <c r="L168">
        <v>27.4</v>
      </c>
      <c r="M168">
        <f t="shared" si="11"/>
        <v>1</v>
      </c>
    </row>
    <row r="169" spans="1:13" x14ac:dyDescent="0.2">
      <c r="A169" s="9">
        <v>42903</v>
      </c>
      <c r="B169">
        <f t="shared" si="8"/>
        <v>17</v>
      </c>
      <c r="C169">
        <f t="shared" si="9"/>
        <v>6</v>
      </c>
      <c r="D169">
        <f t="shared" si="10"/>
        <v>2017</v>
      </c>
      <c r="E169" s="11">
        <v>3.1309999999999998</v>
      </c>
      <c r="F169" s="11">
        <v>101.54900000000001</v>
      </c>
      <c r="G169" s="11">
        <v>27.4</v>
      </c>
      <c r="H169" s="1" t="s">
        <v>0</v>
      </c>
      <c r="I169">
        <v>70.099999999999994</v>
      </c>
      <c r="J169" t="s">
        <v>6</v>
      </c>
      <c r="K169" t="s">
        <v>6</v>
      </c>
      <c r="L169">
        <v>26.3</v>
      </c>
      <c r="M169">
        <f t="shared" si="11"/>
        <v>1</v>
      </c>
    </row>
    <row r="170" spans="1:13" x14ac:dyDescent="0.2">
      <c r="A170" s="9">
        <v>42904</v>
      </c>
      <c r="B170">
        <f t="shared" si="8"/>
        <v>18</v>
      </c>
      <c r="C170">
        <f t="shared" si="9"/>
        <v>6</v>
      </c>
      <c r="D170">
        <f t="shared" si="10"/>
        <v>2017</v>
      </c>
      <c r="E170" s="11">
        <v>3.1309999999999998</v>
      </c>
      <c r="F170" s="11">
        <v>101.54900000000001</v>
      </c>
      <c r="G170" s="11">
        <v>27.4</v>
      </c>
      <c r="H170" s="1" t="s">
        <v>0</v>
      </c>
      <c r="I170">
        <v>3.3</v>
      </c>
      <c r="J170" t="s">
        <v>6</v>
      </c>
      <c r="K170">
        <v>24.4</v>
      </c>
      <c r="L170">
        <v>27.8</v>
      </c>
      <c r="M170">
        <f t="shared" si="11"/>
        <v>1</v>
      </c>
    </row>
    <row r="171" spans="1:13" x14ac:dyDescent="0.2">
      <c r="A171" s="9">
        <v>42905</v>
      </c>
      <c r="B171">
        <f t="shared" si="8"/>
        <v>19</v>
      </c>
      <c r="C171">
        <f t="shared" si="9"/>
        <v>6</v>
      </c>
      <c r="D171">
        <f t="shared" si="10"/>
        <v>2017</v>
      </c>
      <c r="E171" s="11">
        <v>3.1309999999999998</v>
      </c>
      <c r="F171" s="11">
        <v>101.54900000000001</v>
      </c>
      <c r="G171" s="11">
        <v>27.4</v>
      </c>
      <c r="H171" s="1" t="s">
        <v>0</v>
      </c>
      <c r="I171">
        <v>0</v>
      </c>
      <c r="J171" t="s">
        <v>6</v>
      </c>
      <c r="K171" t="s">
        <v>6</v>
      </c>
      <c r="L171">
        <v>28.9</v>
      </c>
      <c r="M171">
        <f t="shared" si="11"/>
        <v>0</v>
      </c>
    </row>
    <row r="172" spans="1:13" x14ac:dyDescent="0.2">
      <c r="A172" s="9">
        <v>42906</v>
      </c>
      <c r="B172">
        <f t="shared" si="8"/>
        <v>20</v>
      </c>
      <c r="C172">
        <f t="shared" si="9"/>
        <v>6</v>
      </c>
      <c r="D172">
        <f t="shared" si="10"/>
        <v>2017</v>
      </c>
      <c r="E172" s="11">
        <v>3.1309999999999998</v>
      </c>
      <c r="F172" s="11">
        <v>101.54900000000001</v>
      </c>
      <c r="G172" s="11">
        <v>27.4</v>
      </c>
      <c r="H172" s="1" t="s">
        <v>0</v>
      </c>
      <c r="I172">
        <v>30.7</v>
      </c>
      <c r="J172" t="s">
        <v>6</v>
      </c>
      <c r="K172">
        <v>22.9</v>
      </c>
      <c r="L172">
        <v>28.6</v>
      </c>
      <c r="M172">
        <f t="shared" si="11"/>
        <v>1</v>
      </c>
    </row>
    <row r="173" spans="1:13" x14ac:dyDescent="0.2">
      <c r="A173" s="9">
        <v>42907</v>
      </c>
      <c r="B173">
        <f t="shared" si="8"/>
        <v>21</v>
      </c>
      <c r="C173">
        <f t="shared" si="9"/>
        <v>6</v>
      </c>
      <c r="D173">
        <f t="shared" si="10"/>
        <v>2017</v>
      </c>
      <c r="E173" s="11">
        <v>3.1309999999999998</v>
      </c>
      <c r="F173" s="11">
        <v>101.54900000000001</v>
      </c>
      <c r="G173" s="11">
        <v>27.4</v>
      </c>
      <c r="H173" s="1" t="s">
        <v>0</v>
      </c>
      <c r="I173">
        <v>0</v>
      </c>
      <c r="J173" t="s">
        <v>6</v>
      </c>
      <c r="K173">
        <v>23.6</v>
      </c>
      <c r="L173">
        <v>27.6</v>
      </c>
      <c r="M173">
        <f t="shared" si="11"/>
        <v>0</v>
      </c>
    </row>
    <row r="174" spans="1:13" x14ac:dyDescent="0.2">
      <c r="A174" s="9">
        <v>42908</v>
      </c>
      <c r="B174">
        <f t="shared" si="8"/>
        <v>22</v>
      </c>
      <c r="C174">
        <f t="shared" si="9"/>
        <v>6</v>
      </c>
      <c r="D174">
        <f t="shared" si="10"/>
        <v>2017</v>
      </c>
      <c r="E174" s="11">
        <v>3.1309999999999998</v>
      </c>
      <c r="F174" s="11">
        <v>101.54900000000001</v>
      </c>
      <c r="G174" s="11">
        <v>27.4</v>
      </c>
      <c r="H174" s="1" t="s">
        <v>0</v>
      </c>
      <c r="I174">
        <v>0.5</v>
      </c>
      <c r="J174" t="s">
        <v>6</v>
      </c>
      <c r="K174" t="s">
        <v>6</v>
      </c>
      <c r="L174">
        <v>28.3</v>
      </c>
      <c r="M174">
        <f t="shared" si="11"/>
        <v>1</v>
      </c>
    </row>
    <row r="175" spans="1:13" x14ac:dyDescent="0.2">
      <c r="A175" s="9">
        <v>42909</v>
      </c>
      <c r="B175">
        <f t="shared" si="8"/>
        <v>23</v>
      </c>
      <c r="C175">
        <f t="shared" si="9"/>
        <v>6</v>
      </c>
      <c r="D175">
        <f t="shared" si="10"/>
        <v>2017</v>
      </c>
      <c r="E175" s="11">
        <v>3.1309999999999998</v>
      </c>
      <c r="F175" s="11">
        <v>101.54900000000001</v>
      </c>
      <c r="G175" s="11">
        <v>27.4</v>
      </c>
      <c r="H175" s="1" t="s">
        <v>0</v>
      </c>
      <c r="I175">
        <v>5.8</v>
      </c>
      <c r="J175" t="s">
        <v>6</v>
      </c>
      <c r="K175">
        <v>24</v>
      </c>
      <c r="L175">
        <v>28</v>
      </c>
      <c r="M175">
        <f t="shared" si="11"/>
        <v>1</v>
      </c>
    </row>
    <row r="176" spans="1:13" x14ac:dyDescent="0.2">
      <c r="A176" s="9">
        <v>42910</v>
      </c>
      <c r="B176">
        <f t="shared" si="8"/>
        <v>24</v>
      </c>
      <c r="C176">
        <f t="shared" si="9"/>
        <v>6</v>
      </c>
      <c r="D176">
        <f t="shared" si="10"/>
        <v>2017</v>
      </c>
      <c r="E176" s="11">
        <v>3.1309999999999998</v>
      </c>
      <c r="F176" s="11">
        <v>101.54900000000001</v>
      </c>
      <c r="G176" s="11">
        <v>27.4</v>
      </c>
      <c r="H176" s="1" t="s">
        <v>0</v>
      </c>
      <c r="I176">
        <v>0</v>
      </c>
      <c r="J176" t="s">
        <v>6</v>
      </c>
      <c r="K176" t="s">
        <v>6</v>
      </c>
      <c r="L176">
        <v>28.8</v>
      </c>
      <c r="M176">
        <f t="shared" si="11"/>
        <v>0</v>
      </c>
    </row>
    <row r="177" spans="1:13" x14ac:dyDescent="0.2">
      <c r="A177" s="9">
        <v>42911</v>
      </c>
      <c r="B177">
        <f t="shared" si="8"/>
        <v>25</v>
      </c>
      <c r="C177">
        <f t="shared" si="9"/>
        <v>6</v>
      </c>
      <c r="D177">
        <f t="shared" si="10"/>
        <v>2017</v>
      </c>
      <c r="E177" s="11">
        <v>3.1309999999999998</v>
      </c>
      <c r="F177" s="11">
        <v>101.54900000000001</v>
      </c>
      <c r="G177" s="11">
        <v>27.4</v>
      </c>
      <c r="H177" s="1" t="s">
        <v>0</v>
      </c>
      <c r="I177">
        <v>6.4</v>
      </c>
      <c r="J177" t="s">
        <v>6</v>
      </c>
      <c r="K177">
        <v>24</v>
      </c>
      <c r="L177">
        <v>28.6</v>
      </c>
      <c r="M177">
        <f t="shared" si="11"/>
        <v>1</v>
      </c>
    </row>
    <row r="178" spans="1:13" x14ac:dyDescent="0.2">
      <c r="A178" s="9">
        <v>42912</v>
      </c>
      <c r="B178">
        <f t="shared" si="8"/>
        <v>26</v>
      </c>
      <c r="C178">
        <f t="shared" si="9"/>
        <v>6</v>
      </c>
      <c r="D178">
        <f t="shared" si="10"/>
        <v>2017</v>
      </c>
      <c r="E178" s="11">
        <v>3.1309999999999998</v>
      </c>
      <c r="F178" s="11">
        <v>101.54900000000001</v>
      </c>
      <c r="G178" s="11">
        <v>27.4</v>
      </c>
      <c r="H178" s="1" t="s">
        <v>0</v>
      </c>
      <c r="I178">
        <v>0.5</v>
      </c>
      <c r="J178" t="s">
        <v>6</v>
      </c>
      <c r="K178" t="s">
        <v>6</v>
      </c>
      <c r="L178">
        <v>26.7</v>
      </c>
      <c r="M178">
        <f t="shared" si="11"/>
        <v>1</v>
      </c>
    </row>
    <row r="179" spans="1:13" x14ac:dyDescent="0.2">
      <c r="A179" s="9">
        <v>42913</v>
      </c>
      <c r="B179">
        <f t="shared" si="8"/>
        <v>27</v>
      </c>
      <c r="C179">
        <f t="shared" si="9"/>
        <v>6</v>
      </c>
      <c r="D179">
        <f t="shared" si="10"/>
        <v>2017</v>
      </c>
      <c r="E179" s="11">
        <v>3.1309999999999998</v>
      </c>
      <c r="F179" s="11">
        <v>101.54900000000001</v>
      </c>
      <c r="G179" s="11">
        <v>27.4</v>
      </c>
      <c r="H179" s="1" t="s">
        <v>0</v>
      </c>
      <c r="I179">
        <v>40.9</v>
      </c>
      <c r="J179" t="s">
        <v>6</v>
      </c>
      <c r="K179">
        <v>22.6</v>
      </c>
      <c r="L179">
        <v>27.6</v>
      </c>
      <c r="M179">
        <f t="shared" si="11"/>
        <v>1</v>
      </c>
    </row>
    <row r="180" spans="1:13" x14ac:dyDescent="0.2">
      <c r="A180" s="9">
        <v>42914</v>
      </c>
      <c r="B180">
        <f t="shared" si="8"/>
        <v>28</v>
      </c>
      <c r="C180">
        <f t="shared" si="9"/>
        <v>6</v>
      </c>
      <c r="D180">
        <f t="shared" si="10"/>
        <v>2017</v>
      </c>
      <c r="E180" s="11">
        <v>3.1309999999999998</v>
      </c>
      <c r="F180" s="11">
        <v>101.54900000000001</v>
      </c>
      <c r="G180" s="11">
        <v>27.4</v>
      </c>
      <c r="H180" s="1" t="s">
        <v>0</v>
      </c>
      <c r="I180">
        <v>0.3</v>
      </c>
      <c r="J180" t="s">
        <v>6</v>
      </c>
      <c r="K180">
        <v>24.7</v>
      </c>
      <c r="L180">
        <v>29.1</v>
      </c>
      <c r="M180">
        <f t="shared" si="11"/>
        <v>1</v>
      </c>
    </row>
    <row r="181" spans="1:13" x14ac:dyDescent="0.2">
      <c r="A181" s="9">
        <v>42915</v>
      </c>
      <c r="B181">
        <f t="shared" si="8"/>
        <v>29</v>
      </c>
      <c r="C181">
        <f t="shared" si="9"/>
        <v>6</v>
      </c>
      <c r="D181">
        <f t="shared" si="10"/>
        <v>2017</v>
      </c>
      <c r="E181" s="11">
        <v>3.1309999999999998</v>
      </c>
      <c r="F181" s="11">
        <v>101.54900000000001</v>
      </c>
      <c r="G181" s="11">
        <v>27.4</v>
      </c>
      <c r="H181" s="1" t="s">
        <v>0</v>
      </c>
      <c r="I181">
        <v>0</v>
      </c>
      <c r="J181" t="s">
        <v>6</v>
      </c>
      <c r="K181">
        <v>25.3</v>
      </c>
      <c r="L181">
        <v>28.2</v>
      </c>
      <c r="M181">
        <f t="shared" si="11"/>
        <v>0</v>
      </c>
    </row>
    <row r="182" spans="1:13" x14ac:dyDescent="0.2">
      <c r="A182" s="9">
        <v>42916</v>
      </c>
      <c r="B182">
        <f t="shared" si="8"/>
        <v>30</v>
      </c>
      <c r="C182">
        <f t="shared" si="9"/>
        <v>6</v>
      </c>
      <c r="D182">
        <f t="shared" si="10"/>
        <v>2017</v>
      </c>
      <c r="E182" s="11">
        <v>3.1309999999999998</v>
      </c>
      <c r="F182" s="11">
        <v>101.54900000000001</v>
      </c>
      <c r="G182" s="11">
        <v>27.4</v>
      </c>
      <c r="H182" s="1" t="s">
        <v>0</v>
      </c>
      <c r="I182">
        <v>0</v>
      </c>
      <c r="J182" t="s">
        <v>6</v>
      </c>
      <c r="K182">
        <v>25.8</v>
      </c>
      <c r="L182">
        <v>28.8</v>
      </c>
      <c r="M182">
        <f t="shared" si="11"/>
        <v>0</v>
      </c>
    </row>
    <row r="183" spans="1:13" x14ac:dyDescent="0.2">
      <c r="A183" s="9">
        <v>42917</v>
      </c>
      <c r="B183">
        <f t="shared" si="8"/>
        <v>1</v>
      </c>
      <c r="C183">
        <f t="shared" si="9"/>
        <v>7</v>
      </c>
      <c r="D183">
        <f t="shared" si="10"/>
        <v>2017</v>
      </c>
      <c r="E183" s="11">
        <v>3.1309999999999998</v>
      </c>
      <c r="F183" s="11">
        <v>101.54900000000001</v>
      </c>
      <c r="G183" s="11">
        <v>27.4</v>
      </c>
      <c r="H183" s="1" t="s">
        <v>0</v>
      </c>
      <c r="I183">
        <v>0</v>
      </c>
      <c r="J183" t="s">
        <v>6</v>
      </c>
      <c r="K183" t="s">
        <v>6</v>
      </c>
      <c r="L183">
        <v>28.1</v>
      </c>
      <c r="M183">
        <f t="shared" si="11"/>
        <v>0</v>
      </c>
    </row>
    <row r="184" spans="1:13" x14ac:dyDescent="0.2">
      <c r="A184" s="9">
        <v>42918</v>
      </c>
      <c r="B184">
        <f t="shared" si="8"/>
        <v>2</v>
      </c>
      <c r="C184">
        <f t="shared" si="9"/>
        <v>7</v>
      </c>
      <c r="D184">
        <f t="shared" si="10"/>
        <v>2017</v>
      </c>
      <c r="E184" s="11">
        <v>3.1309999999999998</v>
      </c>
      <c r="F184" s="11">
        <v>101.54900000000001</v>
      </c>
      <c r="G184" s="11">
        <v>27.4</v>
      </c>
      <c r="H184" s="1" t="s">
        <v>0</v>
      </c>
      <c r="I184">
        <v>0</v>
      </c>
      <c r="J184" t="s">
        <v>6</v>
      </c>
      <c r="K184">
        <v>24.5</v>
      </c>
      <c r="L184">
        <v>29.5</v>
      </c>
      <c r="M184">
        <f t="shared" si="11"/>
        <v>0</v>
      </c>
    </row>
    <row r="185" spans="1:13" x14ac:dyDescent="0.2">
      <c r="A185" s="9">
        <v>42919</v>
      </c>
      <c r="B185">
        <f t="shared" si="8"/>
        <v>3</v>
      </c>
      <c r="C185">
        <f t="shared" si="9"/>
        <v>7</v>
      </c>
      <c r="D185">
        <f t="shared" si="10"/>
        <v>2017</v>
      </c>
      <c r="E185" s="11">
        <v>3.1309999999999998</v>
      </c>
      <c r="F185" s="11">
        <v>101.54900000000001</v>
      </c>
      <c r="G185" s="11">
        <v>27.4</v>
      </c>
      <c r="H185" s="1" t="s">
        <v>0</v>
      </c>
      <c r="I185">
        <v>2</v>
      </c>
      <c r="J185" t="s">
        <v>6</v>
      </c>
      <c r="K185">
        <v>24.7</v>
      </c>
      <c r="L185">
        <v>28.1</v>
      </c>
      <c r="M185">
        <f t="shared" si="11"/>
        <v>1</v>
      </c>
    </row>
    <row r="186" spans="1:13" x14ac:dyDescent="0.2">
      <c r="A186" s="9">
        <v>42920</v>
      </c>
      <c r="B186">
        <f t="shared" si="8"/>
        <v>4</v>
      </c>
      <c r="C186">
        <f t="shared" si="9"/>
        <v>7</v>
      </c>
      <c r="D186">
        <f t="shared" si="10"/>
        <v>2017</v>
      </c>
      <c r="E186" s="11">
        <v>3.1309999999999998</v>
      </c>
      <c r="F186" s="11">
        <v>101.54900000000001</v>
      </c>
      <c r="G186" s="11">
        <v>27.4</v>
      </c>
      <c r="H186" s="1" t="s">
        <v>0</v>
      </c>
      <c r="I186">
        <v>0</v>
      </c>
      <c r="J186" t="s">
        <v>6</v>
      </c>
      <c r="K186">
        <v>25</v>
      </c>
      <c r="L186">
        <v>28.2</v>
      </c>
      <c r="M186">
        <f t="shared" si="11"/>
        <v>0</v>
      </c>
    </row>
    <row r="187" spans="1:13" x14ac:dyDescent="0.2">
      <c r="A187" s="9">
        <v>42921</v>
      </c>
      <c r="B187">
        <f t="shared" si="8"/>
        <v>5</v>
      </c>
      <c r="C187">
        <f t="shared" si="9"/>
        <v>7</v>
      </c>
      <c r="D187">
        <f t="shared" si="10"/>
        <v>2017</v>
      </c>
      <c r="E187" s="11">
        <v>3.1309999999999998</v>
      </c>
      <c r="F187" s="11">
        <v>101.54900000000001</v>
      </c>
      <c r="G187" s="11">
        <v>27.4</v>
      </c>
      <c r="H187" s="1" t="s">
        <v>0</v>
      </c>
      <c r="I187">
        <v>1.5</v>
      </c>
      <c r="J187" t="s">
        <v>6</v>
      </c>
      <c r="K187">
        <v>24.7</v>
      </c>
      <c r="L187">
        <v>28.9</v>
      </c>
      <c r="M187">
        <f t="shared" si="11"/>
        <v>1</v>
      </c>
    </row>
    <row r="188" spans="1:13" x14ac:dyDescent="0.2">
      <c r="A188" s="9">
        <v>42922</v>
      </c>
      <c r="B188">
        <f t="shared" si="8"/>
        <v>6</v>
      </c>
      <c r="C188">
        <f t="shared" si="9"/>
        <v>7</v>
      </c>
      <c r="D188">
        <f t="shared" si="10"/>
        <v>2017</v>
      </c>
      <c r="E188" s="11">
        <v>3.1309999999999998</v>
      </c>
      <c r="F188" s="11">
        <v>101.54900000000001</v>
      </c>
      <c r="G188" s="11">
        <v>27.4</v>
      </c>
      <c r="H188" s="1" t="s">
        <v>0</v>
      </c>
      <c r="I188">
        <v>0</v>
      </c>
      <c r="J188" t="s">
        <v>6</v>
      </c>
      <c r="K188">
        <v>25.2</v>
      </c>
      <c r="L188">
        <v>28.7</v>
      </c>
      <c r="M188">
        <f t="shared" si="11"/>
        <v>0</v>
      </c>
    </row>
    <row r="189" spans="1:13" x14ac:dyDescent="0.2">
      <c r="A189" s="9">
        <v>42923</v>
      </c>
      <c r="B189">
        <f t="shared" si="8"/>
        <v>7</v>
      </c>
      <c r="C189">
        <f t="shared" si="9"/>
        <v>7</v>
      </c>
      <c r="D189">
        <f t="shared" si="10"/>
        <v>2017</v>
      </c>
      <c r="E189" s="11">
        <v>3.1309999999999998</v>
      </c>
      <c r="F189" s="11">
        <v>101.54900000000001</v>
      </c>
      <c r="G189" s="11">
        <v>27.4</v>
      </c>
      <c r="H189" s="1" t="s">
        <v>0</v>
      </c>
      <c r="I189">
        <v>0</v>
      </c>
      <c r="J189" t="s">
        <v>6</v>
      </c>
      <c r="K189" t="s">
        <v>6</v>
      </c>
      <c r="L189">
        <v>26.4</v>
      </c>
      <c r="M189">
        <f t="shared" si="11"/>
        <v>0</v>
      </c>
    </row>
    <row r="190" spans="1:13" x14ac:dyDescent="0.2">
      <c r="A190" s="9">
        <v>42924</v>
      </c>
      <c r="B190">
        <f t="shared" si="8"/>
        <v>8</v>
      </c>
      <c r="C190">
        <f t="shared" si="9"/>
        <v>7</v>
      </c>
      <c r="D190">
        <f t="shared" si="10"/>
        <v>2017</v>
      </c>
      <c r="E190" s="11">
        <v>3.1309999999999998</v>
      </c>
      <c r="F190" s="11">
        <v>101.54900000000001</v>
      </c>
      <c r="G190" s="11">
        <v>27.4</v>
      </c>
      <c r="H190" s="1" t="s">
        <v>0</v>
      </c>
      <c r="I190">
        <v>40.6</v>
      </c>
      <c r="J190" t="s">
        <v>6</v>
      </c>
      <c r="K190">
        <v>23.4</v>
      </c>
      <c r="L190">
        <v>28.6</v>
      </c>
      <c r="M190">
        <f t="shared" si="11"/>
        <v>1</v>
      </c>
    </row>
    <row r="191" spans="1:13" x14ac:dyDescent="0.2">
      <c r="A191" s="9">
        <v>42925</v>
      </c>
      <c r="B191">
        <f t="shared" si="8"/>
        <v>9</v>
      </c>
      <c r="C191">
        <f t="shared" si="9"/>
        <v>7</v>
      </c>
      <c r="D191">
        <f t="shared" si="10"/>
        <v>2017</v>
      </c>
      <c r="E191" s="11">
        <v>3.1309999999999998</v>
      </c>
      <c r="F191" s="11">
        <v>101.54900000000001</v>
      </c>
      <c r="G191" s="11">
        <v>27.4</v>
      </c>
      <c r="H191" s="1" t="s">
        <v>0</v>
      </c>
      <c r="I191">
        <v>0</v>
      </c>
      <c r="J191" t="s">
        <v>6</v>
      </c>
      <c r="K191">
        <v>24.8</v>
      </c>
      <c r="L191">
        <v>27.9</v>
      </c>
      <c r="M191">
        <f t="shared" si="11"/>
        <v>0</v>
      </c>
    </row>
    <row r="192" spans="1:13" x14ac:dyDescent="0.2">
      <c r="A192" s="9">
        <v>42926</v>
      </c>
      <c r="B192">
        <f t="shared" si="8"/>
        <v>10</v>
      </c>
      <c r="C192">
        <f t="shared" si="9"/>
        <v>7</v>
      </c>
      <c r="D192">
        <f t="shared" si="10"/>
        <v>2017</v>
      </c>
      <c r="E192" s="11">
        <v>3.1309999999999998</v>
      </c>
      <c r="F192" s="11">
        <v>101.54900000000001</v>
      </c>
      <c r="G192" s="11">
        <v>27.4</v>
      </c>
      <c r="H192" s="1" t="s">
        <v>0</v>
      </c>
      <c r="I192">
        <v>0</v>
      </c>
      <c r="J192" t="s">
        <v>6</v>
      </c>
      <c r="K192" t="s">
        <v>6</v>
      </c>
      <c r="L192">
        <v>26.9</v>
      </c>
      <c r="M192">
        <f t="shared" si="11"/>
        <v>0</v>
      </c>
    </row>
    <row r="193" spans="1:13" x14ac:dyDescent="0.2">
      <c r="A193" s="9">
        <v>42927</v>
      </c>
      <c r="B193">
        <f t="shared" si="8"/>
        <v>11</v>
      </c>
      <c r="C193">
        <f t="shared" si="9"/>
        <v>7</v>
      </c>
      <c r="D193">
        <f t="shared" si="10"/>
        <v>2017</v>
      </c>
      <c r="E193" s="11">
        <v>3.1309999999999998</v>
      </c>
      <c r="F193" s="11">
        <v>101.54900000000001</v>
      </c>
      <c r="G193" s="11">
        <v>27.4</v>
      </c>
      <c r="H193" s="1" t="s">
        <v>0</v>
      </c>
      <c r="I193">
        <v>23.6</v>
      </c>
      <c r="J193" t="s">
        <v>6</v>
      </c>
      <c r="K193">
        <v>24.3</v>
      </c>
      <c r="L193">
        <v>27.1</v>
      </c>
      <c r="M193">
        <f t="shared" si="11"/>
        <v>1</v>
      </c>
    </row>
    <row r="194" spans="1:13" x14ac:dyDescent="0.2">
      <c r="A194" s="9">
        <v>42928</v>
      </c>
      <c r="B194">
        <f t="shared" si="8"/>
        <v>12</v>
      </c>
      <c r="C194">
        <f t="shared" si="9"/>
        <v>7</v>
      </c>
      <c r="D194">
        <f t="shared" si="10"/>
        <v>2017</v>
      </c>
      <c r="E194" s="11">
        <v>3.1309999999999998</v>
      </c>
      <c r="F194" s="11">
        <v>101.54900000000001</v>
      </c>
      <c r="G194" s="11">
        <v>27.4</v>
      </c>
      <c r="H194" s="1" t="s">
        <v>0</v>
      </c>
      <c r="I194">
        <v>1.5</v>
      </c>
      <c r="J194" t="s">
        <v>6</v>
      </c>
      <c r="K194" t="s">
        <v>6</v>
      </c>
      <c r="L194">
        <v>27.9</v>
      </c>
      <c r="M194">
        <f t="shared" si="11"/>
        <v>1</v>
      </c>
    </row>
    <row r="195" spans="1:13" x14ac:dyDescent="0.2">
      <c r="A195" s="9">
        <v>42929</v>
      </c>
      <c r="B195">
        <f t="shared" ref="B195:B258" si="12">DAY(A195)</f>
        <v>13</v>
      </c>
      <c r="C195">
        <f t="shared" ref="C195:C258" si="13">MONTH(A195)</f>
        <v>7</v>
      </c>
      <c r="D195">
        <f t="shared" ref="D195:D258" si="14">YEAR(A195)</f>
        <v>2017</v>
      </c>
      <c r="E195" s="11">
        <v>3.1309999999999998</v>
      </c>
      <c r="F195" s="11">
        <v>101.54900000000001</v>
      </c>
      <c r="G195" s="11">
        <v>27.4</v>
      </c>
      <c r="H195" s="1" t="s">
        <v>0</v>
      </c>
      <c r="I195">
        <v>0</v>
      </c>
      <c r="J195" t="s">
        <v>6</v>
      </c>
      <c r="K195" t="s">
        <v>6</v>
      </c>
      <c r="L195">
        <v>27.2</v>
      </c>
      <c r="M195">
        <f t="shared" ref="M195:M258" si="15">IF(ISNUMBER(I195), IF(I195&gt;0, 1, 0), "")</f>
        <v>0</v>
      </c>
    </row>
    <row r="196" spans="1:13" x14ac:dyDescent="0.2">
      <c r="A196" s="9">
        <v>42930</v>
      </c>
      <c r="B196">
        <f t="shared" si="12"/>
        <v>14</v>
      </c>
      <c r="C196">
        <f t="shared" si="13"/>
        <v>7</v>
      </c>
      <c r="D196">
        <f t="shared" si="14"/>
        <v>2017</v>
      </c>
      <c r="E196" s="11">
        <v>3.1309999999999998</v>
      </c>
      <c r="F196" s="11">
        <v>101.54900000000001</v>
      </c>
      <c r="G196" s="11">
        <v>27.4</v>
      </c>
      <c r="H196" s="1" t="s">
        <v>0</v>
      </c>
      <c r="I196">
        <v>21.3</v>
      </c>
      <c r="J196" t="s">
        <v>6</v>
      </c>
      <c r="K196" t="s">
        <v>6</v>
      </c>
      <c r="L196">
        <v>27.7</v>
      </c>
      <c r="M196">
        <f t="shared" si="15"/>
        <v>1</v>
      </c>
    </row>
    <row r="197" spans="1:13" x14ac:dyDescent="0.2">
      <c r="A197" s="9">
        <v>42931</v>
      </c>
      <c r="B197">
        <f t="shared" si="12"/>
        <v>15</v>
      </c>
      <c r="C197">
        <f t="shared" si="13"/>
        <v>7</v>
      </c>
      <c r="D197">
        <f t="shared" si="14"/>
        <v>2017</v>
      </c>
      <c r="E197" s="11">
        <v>3.1309999999999998</v>
      </c>
      <c r="F197" s="11">
        <v>101.54900000000001</v>
      </c>
      <c r="G197" s="11">
        <v>27.4</v>
      </c>
      <c r="H197" s="1" t="s">
        <v>0</v>
      </c>
      <c r="I197">
        <v>37.1</v>
      </c>
      <c r="J197" t="s">
        <v>6</v>
      </c>
      <c r="K197">
        <v>22.1</v>
      </c>
      <c r="L197">
        <v>26.7</v>
      </c>
      <c r="M197">
        <f t="shared" si="15"/>
        <v>1</v>
      </c>
    </row>
    <row r="198" spans="1:13" x14ac:dyDescent="0.2">
      <c r="A198" s="9">
        <v>42932</v>
      </c>
      <c r="B198">
        <f t="shared" si="12"/>
        <v>16</v>
      </c>
      <c r="C198">
        <f t="shared" si="13"/>
        <v>7</v>
      </c>
      <c r="D198">
        <f t="shared" si="14"/>
        <v>2017</v>
      </c>
      <c r="E198" s="11">
        <v>3.1309999999999998</v>
      </c>
      <c r="F198" s="11">
        <v>101.54900000000001</v>
      </c>
      <c r="G198" s="11">
        <v>27.4</v>
      </c>
      <c r="H198" s="1" t="s">
        <v>0</v>
      </c>
      <c r="I198">
        <v>0</v>
      </c>
      <c r="J198" t="s">
        <v>6</v>
      </c>
      <c r="K198">
        <v>22.9</v>
      </c>
      <c r="L198">
        <v>28.8</v>
      </c>
      <c r="M198">
        <f t="shared" si="15"/>
        <v>0</v>
      </c>
    </row>
    <row r="199" spans="1:13" x14ac:dyDescent="0.2">
      <c r="A199" s="9">
        <v>42933</v>
      </c>
      <c r="B199">
        <f t="shared" si="12"/>
        <v>17</v>
      </c>
      <c r="C199">
        <f t="shared" si="13"/>
        <v>7</v>
      </c>
      <c r="D199">
        <f t="shared" si="14"/>
        <v>2017</v>
      </c>
      <c r="E199" s="11">
        <v>3.1309999999999998</v>
      </c>
      <c r="F199" s="11">
        <v>101.54900000000001</v>
      </c>
      <c r="G199" s="11">
        <v>27.4</v>
      </c>
      <c r="H199" s="1" t="s">
        <v>0</v>
      </c>
      <c r="I199">
        <v>0</v>
      </c>
      <c r="J199" t="s">
        <v>6</v>
      </c>
      <c r="K199" t="s">
        <v>6</v>
      </c>
      <c r="L199">
        <v>28.9</v>
      </c>
      <c r="M199">
        <f t="shared" si="15"/>
        <v>0</v>
      </c>
    </row>
    <row r="200" spans="1:13" x14ac:dyDescent="0.2">
      <c r="A200" s="9">
        <v>42934</v>
      </c>
      <c r="B200">
        <f t="shared" si="12"/>
        <v>18</v>
      </c>
      <c r="C200">
        <f t="shared" si="13"/>
        <v>7</v>
      </c>
      <c r="D200">
        <f t="shared" si="14"/>
        <v>2017</v>
      </c>
      <c r="E200" s="11">
        <v>3.1309999999999998</v>
      </c>
      <c r="F200" s="11">
        <v>101.54900000000001</v>
      </c>
      <c r="G200" s="11">
        <v>27.4</v>
      </c>
      <c r="H200" s="1" t="s">
        <v>0</v>
      </c>
      <c r="I200">
        <v>0</v>
      </c>
      <c r="J200" t="s">
        <v>6</v>
      </c>
      <c r="K200">
        <v>25.3</v>
      </c>
      <c r="L200">
        <v>29.1</v>
      </c>
      <c r="M200">
        <f t="shared" si="15"/>
        <v>0</v>
      </c>
    </row>
    <row r="201" spans="1:13" x14ac:dyDescent="0.2">
      <c r="A201" s="9">
        <v>42935</v>
      </c>
      <c r="B201">
        <f t="shared" si="12"/>
        <v>19</v>
      </c>
      <c r="C201">
        <f t="shared" si="13"/>
        <v>7</v>
      </c>
      <c r="D201">
        <f t="shared" si="14"/>
        <v>2017</v>
      </c>
      <c r="E201" s="11">
        <v>3.1309999999999998</v>
      </c>
      <c r="F201" s="11">
        <v>101.54900000000001</v>
      </c>
      <c r="G201" s="11">
        <v>27.4</v>
      </c>
      <c r="H201" s="1" t="s">
        <v>0</v>
      </c>
      <c r="I201">
        <v>0</v>
      </c>
      <c r="J201" t="s">
        <v>6</v>
      </c>
      <c r="K201">
        <v>25.5</v>
      </c>
      <c r="L201">
        <v>28.9</v>
      </c>
      <c r="M201">
        <f t="shared" si="15"/>
        <v>0</v>
      </c>
    </row>
    <row r="202" spans="1:13" x14ac:dyDescent="0.2">
      <c r="A202" s="9">
        <v>42936</v>
      </c>
      <c r="B202">
        <f t="shared" si="12"/>
        <v>20</v>
      </c>
      <c r="C202">
        <f t="shared" si="13"/>
        <v>7</v>
      </c>
      <c r="D202">
        <f t="shared" si="14"/>
        <v>2017</v>
      </c>
      <c r="E202" s="11">
        <v>3.1309999999999998</v>
      </c>
      <c r="F202" s="11">
        <v>101.54900000000001</v>
      </c>
      <c r="G202" s="11">
        <v>27.4</v>
      </c>
      <c r="H202" s="1" t="s">
        <v>0</v>
      </c>
      <c r="I202">
        <v>0</v>
      </c>
      <c r="J202" t="s">
        <v>6</v>
      </c>
      <c r="K202" t="s">
        <v>6</v>
      </c>
      <c r="L202">
        <v>28.6</v>
      </c>
      <c r="M202">
        <f t="shared" si="15"/>
        <v>0</v>
      </c>
    </row>
    <row r="203" spans="1:13" x14ac:dyDescent="0.2">
      <c r="A203" s="9">
        <v>42937</v>
      </c>
      <c r="B203">
        <f t="shared" si="12"/>
        <v>21</v>
      </c>
      <c r="C203">
        <f t="shared" si="13"/>
        <v>7</v>
      </c>
      <c r="D203">
        <f t="shared" si="14"/>
        <v>2017</v>
      </c>
      <c r="E203" s="11">
        <v>3.1309999999999998</v>
      </c>
      <c r="F203" s="11">
        <v>101.54900000000001</v>
      </c>
      <c r="G203" s="11">
        <v>27.4</v>
      </c>
      <c r="H203" s="1" t="s">
        <v>0</v>
      </c>
      <c r="I203">
        <v>0</v>
      </c>
      <c r="J203" t="s">
        <v>6</v>
      </c>
      <c r="K203">
        <v>25.3</v>
      </c>
      <c r="L203">
        <v>29.6</v>
      </c>
      <c r="M203">
        <f t="shared" si="15"/>
        <v>0</v>
      </c>
    </row>
    <row r="204" spans="1:13" x14ac:dyDescent="0.2">
      <c r="A204" s="9">
        <v>42938</v>
      </c>
      <c r="B204">
        <f t="shared" si="12"/>
        <v>22</v>
      </c>
      <c r="C204">
        <f t="shared" si="13"/>
        <v>7</v>
      </c>
      <c r="D204">
        <f t="shared" si="14"/>
        <v>2017</v>
      </c>
      <c r="E204" s="11">
        <v>3.1309999999999998</v>
      </c>
      <c r="F204" s="11">
        <v>101.54900000000001</v>
      </c>
      <c r="G204" s="11">
        <v>27.4</v>
      </c>
      <c r="H204" s="1" t="s">
        <v>0</v>
      </c>
      <c r="I204">
        <v>0</v>
      </c>
      <c r="J204" t="s">
        <v>6</v>
      </c>
      <c r="K204" t="s">
        <v>6</v>
      </c>
      <c r="L204">
        <v>29.3</v>
      </c>
      <c r="M204">
        <f t="shared" si="15"/>
        <v>0</v>
      </c>
    </row>
    <row r="205" spans="1:13" x14ac:dyDescent="0.2">
      <c r="A205" s="9">
        <v>42939</v>
      </c>
      <c r="B205">
        <f t="shared" si="12"/>
        <v>23</v>
      </c>
      <c r="C205">
        <f t="shared" si="13"/>
        <v>7</v>
      </c>
      <c r="D205">
        <f t="shared" si="14"/>
        <v>2017</v>
      </c>
      <c r="E205" s="11">
        <v>3.1309999999999998</v>
      </c>
      <c r="F205" s="11">
        <v>101.54900000000001</v>
      </c>
      <c r="G205" s="11">
        <v>27.4</v>
      </c>
      <c r="H205" s="1" t="s">
        <v>0</v>
      </c>
      <c r="I205">
        <v>0</v>
      </c>
      <c r="J205" t="s">
        <v>6</v>
      </c>
      <c r="K205">
        <v>24.9</v>
      </c>
      <c r="L205">
        <v>29.4</v>
      </c>
      <c r="M205">
        <f t="shared" si="15"/>
        <v>0</v>
      </c>
    </row>
    <row r="206" spans="1:13" x14ac:dyDescent="0.2">
      <c r="A206" s="9">
        <v>42940</v>
      </c>
      <c r="B206">
        <f t="shared" si="12"/>
        <v>24</v>
      </c>
      <c r="C206">
        <f t="shared" si="13"/>
        <v>7</v>
      </c>
      <c r="D206">
        <f t="shared" si="14"/>
        <v>2017</v>
      </c>
      <c r="E206" s="11">
        <v>3.1309999999999998</v>
      </c>
      <c r="F206" s="11">
        <v>101.54900000000001</v>
      </c>
      <c r="G206" s="11">
        <v>27.4</v>
      </c>
      <c r="H206" s="1" t="s">
        <v>0</v>
      </c>
      <c r="I206">
        <v>0</v>
      </c>
      <c r="J206" t="s">
        <v>6</v>
      </c>
      <c r="K206" t="s">
        <v>6</v>
      </c>
      <c r="L206">
        <v>27.4</v>
      </c>
      <c r="M206">
        <f t="shared" si="15"/>
        <v>0</v>
      </c>
    </row>
    <row r="207" spans="1:13" x14ac:dyDescent="0.2">
      <c r="A207" s="9">
        <v>42941</v>
      </c>
      <c r="B207">
        <f t="shared" si="12"/>
        <v>25</v>
      </c>
      <c r="C207">
        <f t="shared" si="13"/>
        <v>7</v>
      </c>
      <c r="D207">
        <f t="shared" si="14"/>
        <v>2017</v>
      </c>
      <c r="E207" s="11">
        <v>3.1309999999999998</v>
      </c>
      <c r="F207" s="11">
        <v>101.54900000000001</v>
      </c>
      <c r="G207" s="11">
        <v>27.4</v>
      </c>
      <c r="H207" s="1" t="s">
        <v>0</v>
      </c>
      <c r="I207">
        <v>13.2</v>
      </c>
      <c r="J207" t="s">
        <v>6</v>
      </c>
      <c r="K207">
        <v>24.9</v>
      </c>
      <c r="L207">
        <v>27.8</v>
      </c>
      <c r="M207">
        <f t="shared" si="15"/>
        <v>1</v>
      </c>
    </row>
    <row r="208" spans="1:13" x14ac:dyDescent="0.2">
      <c r="A208" s="9">
        <v>42942</v>
      </c>
      <c r="B208">
        <f t="shared" si="12"/>
        <v>26</v>
      </c>
      <c r="C208">
        <f t="shared" si="13"/>
        <v>7</v>
      </c>
      <c r="D208">
        <f t="shared" si="14"/>
        <v>2017</v>
      </c>
      <c r="E208" s="11">
        <v>3.1309999999999998</v>
      </c>
      <c r="F208" s="11">
        <v>101.54900000000001</v>
      </c>
      <c r="G208" s="11">
        <v>27.4</v>
      </c>
      <c r="H208" s="1" t="s">
        <v>0</v>
      </c>
      <c r="I208">
        <v>0</v>
      </c>
      <c r="J208" t="s">
        <v>6</v>
      </c>
      <c r="K208">
        <v>25.2</v>
      </c>
      <c r="L208">
        <v>29.3</v>
      </c>
      <c r="M208">
        <f t="shared" si="15"/>
        <v>0</v>
      </c>
    </row>
    <row r="209" spans="1:13" x14ac:dyDescent="0.2">
      <c r="A209" s="9">
        <v>42943</v>
      </c>
      <c r="B209">
        <f t="shared" si="12"/>
        <v>27</v>
      </c>
      <c r="C209">
        <f t="shared" si="13"/>
        <v>7</v>
      </c>
      <c r="D209">
        <f t="shared" si="14"/>
        <v>2017</v>
      </c>
      <c r="E209" s="11">
        <v>3.1309999999999998</v>
      </c>
      <c r="F209" s="11">
        <v>101.54900000000001</v>
      </c>
      <c r="G209" s="11">
        <v>27.4</v>
      </c>
      <c r="H209" s="1" t="s">
        <v>0</v>
      </c>
      <c r="I209">
        <v>0</v>
      </c>
      <c r="J209" t="s">
        <v>6</v>
      </c>
      <c r="K209">
        <v>26.4</v>
      </c>
      <c r="L209">
        <v>30.1</v>
      </c>
      <c r="M209">
        <f t="shared" si="15"/>
        <v>0</v>
      </c>
    </row>
    <row r="210" spans="1:13" x14ac:dyDescent="0.2">
      <c r="A210" s="9">
        <v>42944</v>
      </c>
      <c r="B210">
        <f t="shared" si="12"/>
        <v>28</v>
      </c>
      <c r="C210">
        <f t="shared" si="13"/>
        <v>7</v>
      </c>
      <c r="D210">
        <f t="shared" si="14"/>
        <v>2017</v>
      </c>
      <c r="E210" s="11">
        <v>3.1309999999999998</v>
      </c>
      <c r="F210" s="11">
        <v>101.54900000000001</v>
      </c>
      <c r="G210" s="11">
        <v>27.4</v>
      </c>
      <c r="H210" s="1" t="s">
        <v>0</v>
      </c>
      <c r="I210">
        <v>0</v>
      </c>
      <c r="J210" t="s">
        <v>6</v>
      </c>
      <c r="K210" t="s">
        <v>6</v>
      </c>
      <c r="L210">
        <v>29.7</v>
      </c>
      <c r="M210">
        <f t="shared" si="15"/>
        <v>0</v>
      </c>
    </row>
    <row r="211" spans="1:13" x14ac:dyDescent="0.2">
      <c r="A211" s="9">
        <v>42945</v>
      </c>
      <c r="B211">
        <f t="shared" si="12"/>
        <v>29</v>
      </c>
      <c r="C211">
        <f t="shared" si="13"/>
        <v>7</v>
      </c>
      <c r="D211">
        <f t="shared" si="14"/>
        <v>2017</v>
      </c>
      <c r="E211" s="11">
        <v>3.1309999999999998</v>
      </c>
      <c r="F211" s="11">
        <v>101.54900000000001</v>
      </c>
      <c r="G211" s="11">
        <v>27.4</v>
      </c>
      <c r="H211" s="1" t="s">
        <v>0</v>
      </c>
      <c r="I211">
        <v>0</v>
      </c>
      <c r="J211" t="s">
        <v>6</v>
      </c>
      <c r="K211">
        <v>26.2</v>
      </c>
      <c r="L211">
        <v>29.8</v>
      </c>
      <c r="M211">
        <f t="shared" si="15"/>
        <v>0</v>
      </c>
    </row>
    <row r="212" spans="1:13" x14ac:dyDescent="0.2">
      <c r="A212" s="9">
        <v>42946</v>
      </c>
      <c r="B212">
        <f t="shared" si="12"/>
        <v>30</v>
      </c>
      <c r="C212">
        <f t="shared" si="13"/>
        <v>7</v>
      </c>
      <c r="D212">
        <f t="shared" si="14"/>
        <v>2017</v>
      </c>
      <c r="E212" s="11">
        <v>3.1309999999999998</v>
      </c>
      <c r="F212" s="11">
        <v>101.54900000000001</v>
      </c>
      <c r="G212" s="11">
        <v>27.4</v>
      </c>
      <c r="H212" s="1" t="s">
        <v>0</v>
      </c>
      <c r="I212">
        <v>0</v>
      </c>
      <c r="J212" t="s">
        <v>6</v>
      </c>
      <c r="K212" t="s">
        <v>6</v>
      </c>
      <c r="L212">
        <v>27.7</v>
      </c>
      <c r="M212">
        <f t="shared" si="15"/>
        <v>0</v>
      </c>
    </row>
    <row r="213" spans="1:13" x14ac:dyDescent="0.2">
      <c r="A213" s="9">
        <v>42947</v>
      </c>
      <c r="B213">
        <f t="shared" si="12"/>
        <v>31</v>
      </c>
      <c r="C213">
        <f t="shared" si="13"/>
        <v>7</v>
      </c>
      <c r="D213">
        <f t="shared" si="14"/>
        <v>2017</v>
      </c>
      <c r="E213" s="11">
        <v>3.1309999999999998</v>
      </c>
      <c r="F213" s="11">
        <v>101.54900000000001</v>
      </c>
      <c r="G213" s="11">
        <v>27.4</v>
      </c>
      <c r="H213" s="1" t="s">
        <v>0</v>
      </c>
      <c r="I213">
        <v>6.1</v>
      </c>
      <c r="J213" t="s">
        <v>6</v>
      </c>
      <c r="K213">
        <v>23.9</v>
      </c>
      <c r="L213">
        <v>29.1</v>
      </c>
      <c r="M213">
        <f t="shared" si="15"/>
        <v>1</v>
      </c>
    </row>
    <row r="214" spans="1:13" x14ac:dyDescent="0.2">
      <c r="A214" s="9">
        <v>42948</v>
      </c>
      <c r="B214">
        <f t="shared" si="12"/>
        <v>1</v>
      </c>
      <c r="C214">
        <f t="shared" si="13"/>
        <v>8</v>
      </c>
      <c r="D214">
        <f t="shared" si="14"/>
        <v>2017</v>
      </c>
      <c r="E214" s="11">
        <v>3.1309999999999998</v>
      </c>
      <c r="F214" s="11">
        <v>101.54900000000001</v>
      </c>
      <c r="G214" s="11">
        <v>27.4</v>
      </c>
      <c r="H214" s="1" t="s">
        <v>0</v>
      </c>
      <c r="I214">
        <v>0.5</v>
      </c>
      <c r="J214" t="s">
        <v>6</v>
      </c>
      <c r="K214">
        <v>24.9</v>
      </c>
      <c r="L214">
        <v>28.7</v>
      </c>
      <c r="M214">
        <f t="shared" si="15"/>
        <v>1</v>
      </c>
    </row>
    <row r="215" spans="1:13" x14ac:dyDescent="0.2">
      <c r="A215" s="9">
        <v>42949</v>
      </c>
      <c r="B215">
        <f t="shared" si="12"/>
        <v>2</v>
      </c>
      <c r="C215">
        <f t="shared" si="13"/>
        <v>8</v>
      </c>
      <c r="D215">
        <f t="shared" si="14"/>
        <v>2017</v>
      </c>
      <c r="E215" s="11">
        <v>3.1309999999999998</v>
      </c>
      <c r="F215" s="11">
        <v>101.54900000000001</v>
      </c>
      <c r="G215" s="11">
        <v>27.4</v>
      </c>
      <c r="H215" s="1" t="s">
        <v>0</v>
      </c>
      <c r="I215">
        <v>1.5</v>
      </c>
      <c r="J215" t="s">
        <v>6</v>
      </c>
      <c r="K215" t="s">
        <v>6</v>
      </c>
      <c r="L215">
        <v>28.2</v>
      </c>
      <c r="M215">
        <f t="shared" si="15"/>
        <v>1</v>
      </c>
    </row>
    <row r="216" spans="1:13" x14ac:dyDescent="0.2">
      <c r="A216" s="9">
        <v>42950</v>
      </c>
      <c r="B216">
        <f t="shared" si="12"/>
        <v>3</v>
      </c>
      <c r="C216">
        <f t="shared" si="13"/>
        <v>8</v>
      </c>
      <c r="D216">
        <f t="shared" si="14"/>
        <v>2017</v>
      </c>
      <c r="E216" s="11">
        <v>3.1309999999999998</v>
      </c>
      <c r="F216" s="11">
        <v>101.54900000000001</v>
      </c>
      <c r="G216" s="11">
        <v>27.4</v>
      </c>
      <c r="H216" s="1" t="s">
        <v>0</v>
      </c>
      <c r="I216">
        <v>0</v>
      </c>
      <c r="J216" t="s">
        <v>6</v>
      </c>
      <c r="K216">
        <v>24.6</v>
      </c>
      <c r="L216">
        <v>26.8</v>
      </c>
      <c r="M216">
        <f t="shared" si="15"/>
        <v>0</v>
      </c>
    </row>
    <row r="217" spans="1:13" x14ac:dyDescent="0.2">
      <c r="A217" s="9">
        <v>42951</v>
      </c>
      <c r="B217">
        <f t="shared" si="12"/>
        <v>4</v>
      </c>
      <c r="C217">
        <f t="shared" si="13"/>
        <v>8</v>
      </c>
      <c r="D217">
        <f t="shared" si="14"/>
        <v>2017</v>
      </c>
      <c r="E217" s="11">
        <v>3.1309999999999998</v>
      </c>
      <c r="F217" s="11">
        <v>101.54900000000001</v>
      </c>
      <c r="G217" s="11">
        <v>27.4</v>
      </c>
      <c r="H217" s="1" t="s">
        <v>0</v>
      </c>
      <c r="I217">
        <v>7.6</v>
      </c>
      <c r="J217" t="s">
        <v>6</v>
      </c>
      <c r="K217" t="s">
        <v>6</v>
      </c>
      <c r="L217">
        <v>28.6</v>
      </c>
      <c r="M217">
        <f t="shared" si="15"/>
        <v>1</v>
      </c>
    </row>
    <row r="218" spans="1:13" x14ac:dyDescent="0.2">
      <c r="A218" s="9">
        <v>42952</v>
      </c>
      <c r="B218">
        <f t="shared" si="12"/>
        <v>5</v>
      </c>
      <c r="C218">
        <f t="shared" si="13"/>
        <v>8</v>
      </c>
      <c r="D218">
        <f t="shared" si="14"/>
        <v>2017</v>
      </c>
      <c r="E218" s="11">
        <v>3.1309999999999998</v>
      </c>
      <c r="F218" s="11">
        <v>101.54900000000001</v>
      </c>
      <c r="G218" s="11">
        <v>27.4</v>
      </c>
      <c r="H218" s="1" t="s">
        <v>0</v>
      </c>
      <c r="I218">
        <v>0</v>
      </c>
      <c r="J218" t="s">
        <v>6</v>
      </c>
      <c r="K218" t="s">
        <v>6</v>
      </c>
      <c r="L218">
        <v>29.3</v>
      </c>
      <c r="M218">
        <f t="shared" si="15"/>
        <v>0</v>
      </c>
    </row>
    <row r="219" spans="1:13" x14ac:dyDescent="0.2">
      <c r="A219" s="9">
        <v>42953</v>
      </c>
      <c r="B219">
        <f t="shared" si="12"/>
        <v>6</v>
      </c>
      <c r="C219">
        <f t="shared" si="13"/>
        <v>8</v>
      </c>
      <c r="D219">
        <f t="shared" si="14"/>
        <v>2017</v>
      </c>
      <c r="E219" s="11">
        <v>3.1309999999999998</v>
      </c>
      <c r="F219" s="11">
        <v>101.54900000000001</v>
      </c>
      <c r="G219" s="11">
        <v>27.4</v>
      </c>
      <c r="H219" s="1" t="s">
        <v>0</v>
      </c>
      <c r="I219">
        <v>4.3</v>
      </c>
      <c r="J219" t="s">
        <v>6</v>
      </c>
      <c r="K219">
        <v>23.5</v>
      </c>
      <c r="L219">
        <v>29.4</v>
      </c>
      <c r="M219">
        <f t="shared" si="15"/>
        <v>1</v>
      </c>
    </row>
    <row r="220" spans="1:13" x14ac:dyDescent="0.2">
      <c r="A220" s="9">
        <v>42954</v>
      </c>
      <c r="B220">
        <f t="shared" si="12"/>
        <v>7</v>
      </c>
      <c r="C220">
        <f t="shared" si="13"/>
        <v>8</v>
      </c>
      <c r="D220">
        <f t="shared" si="14"/>
        <v>2017</v>
      </c>
      <c r="E220" s="11">
        <v>3.1309999999999998</v>
      </c>
      <c r="F220" s="11">
        <v>101.54900000000001</v>
      </c>
      <c r="G220" s="11">
        <v>27.4</v>
      </c>
      <c r="H220" s="1" t="s">
        <v>0</v>
      </c>
      <c r="I220">
        <v>0</v>
      </c>
      <c r="J220" t="s">
        <v>6</v>
      </c>
      <c r="K220">
        <v>25.2</v>
      </c>
      <c r="L220">
        <v>29.6</v>
      </c>
      <c r="M220">
        <f t="shared" si="15"/>
        <v>0</v>
      </c>
    </row>
    <row r="221" spans="1:13" x14ac:dyDescent="0.2">
      <c r="A221" s="9">
        <v>42955</v>
      </c>
      <c r="B221">
        <f t="shared" si="12"/>
        <v>8</v>
      </c>
      <c r="C221">
        <f t="shared" si="13"/>
        <v>8</v>
      </c>
      <c r="D221">
        <f t="shared" si="14"/>
        <v>2017</v>
      </c>
      <c r="E221" s="11">
        <v>3.1309999999999998</v>
      </c>
      <c r="F221" s="11">
        <v>101.54900000000001</v>
      </c>
      <c r="G221" s="11">
        <v>27.4</v>
      </c>
      <c r="H221" s="1" t="s">
        <v>0</v>
      </c>
      <c r="I221">
        <v>0</v>
      </c>
      <c r="J221" t="s">
        <v>6</v>
      </c>
      <c r="K221" t="s">
        <v>6</v>
      </c>
      <c r="L221">
        <v>26.2</v>
      </c>
      <c r="M221">
        <f t="shared" si="15"/>
        <v>0</v>
      </c>
    </row>
    <row r="222" spans="1:13" x14ac:dyDescent="0.2">
      <c r="A222" s="9">
        <v>42956</v>
      </c>
      <c r="B222">
        <f t="shared" si="12"/>
        <v>9</v>
      </c>
      <c r="C222">
        <f t="shared" si="13"/>
        <v>8</v>
      </c>
      <c r="D222">
        <f t="shared" si="14"/>
        <v>2017</v>
      </c>
      <c r="E222" s="11">
        <v>3.1309999999999998</v>
      </c>
      <c r="F222" s="11">
        <v>101.54900000000001</v>
      </c>
      <c r="G222" s="11">
        <v>27.4</v>
      </c>
      <c r="H222" s="1" t="s">
        <v>0</v>
      </c>
      <c r="I222">
        <v>26.7</v>
      </c>
      <c r="J222" t="s">
        <v>6</v>
      </c>
      <c r="K222" t="s">
        <v>6</v>
      </c>
      <c r="L222">
        <v>26.6</v>
      </c>
      <c r="M222">
        <f t="shared" si="15"/>
        <v>1</v>
      </c>
    </row>
    <row r="223" spans="1:13" x14ac:dyDescent="0.2">
      <c r="A223" s="9">
        <v>42957</v>
      </c>
      <c r="B223">
        <f t="shared" si="12"/>
        <v>10</v>
      </c>
      <c r="C223">
        <f t="shared" si="13"/>
        <v>8</v>
      </c>
      <c r="D223">
        <f t="shared" si="14"/>
        <v>2017</v>
      </c>
      <c r="E223" s="11">
        <v>3.1309999999999998</v>
      </c>
      <c r="F223" s="11">
        <v>101.54900000000001</v>
      </c>
      <c r="G223" s="11">
        <v>27.4</v>
      </c>
      <c r="H223" s="1" t="s">
        <v>0</v>
      </c>
      <c r="I223">
        <v>35.299999999999997</v>
      </c>
      <c r="J223" t="s">
        <v>6</v>
      </c>
      <c r="K223">
        <v>24</v>
      </c>
      <c r="L223">
        <v>26.8</v>
      </c>
      <c r="M223">
        <f t="shared" si="15"/>
        <v>1</v>
      </c>
    </row>
    <row r="224" spans="1:13" x14ac:dyDescent="0.2">
      <c r="A224" s="9">
        <v>42958</v>
      </c>
      <c r="B224">
        <f t="shared" si="12"/>
        <v>11</v>
      </c>
      <c r="C224">
        <f t="shared" si="13"/>
        <v>8</v>
      </c>
      <c r="D224">
        <f t="shared" si="14"/>
        <v>2017</v>
      </c>
      <c r="E224" s="11">
        <v>3.1309999999999998</v>
      </c>
      <c r="F224" s="11">
        <v>101.54900000000001</v>
      </c>
      <c r="G224" s="11">
        <v>27.4</v>
      </c>
      <c r="H224" s="1" t="s">
        <v>0</v>
      </c>
      <c r="I224">
        <v>1.5</v>
      </c>
      <c r="J224" t="s">
        <v>6</v>
      </c>
      <c r="K224" t="s">
        <v>6</v>
      </c>
      <c r="L224">
        <v>25.4</v>
      </c>
      <c r="M224">
        <f t="shared" si="15"/>
        <v>1</v>
      </c>
    </row>
    <row r="225" spans="1:13" x14ac:dyDescent="0.2">
      <c r="A225" s="9">
        <v>42959</v>
      </c>
      <c r="B225">
        <f t="shared" si="12"/>
        <v>12</v>
      </c>
      <c r="C225">
        <f t="shared" si="13"/>
        <v>8</v>
      </c>
      <c r="D225">
        <f t="shared" si="14"/>
        <v>2017</v>
      </c>
      <c r="E225" s="11">
        <v>3.1309999999999998</v>
      </c>
      <c r="F225" s="11">
        <v>101.54900000000001</v>
      </c>
      <c r="G225" s="11">
        <v>27.4</v>
      </c>
      <c r="H225" s="1" t="s">
        <v>0</v>
      </c>
      <c r="I225">
        <v>28.4</v>
      </c>
      <c r="J225" t="s">
        <v>6</v>
      </c>
      <c r="K225">
        <v>23.2</v>
      </c>
      <c r="L225">
        <v>27.2</v>
      </c>
      <c r="M225">
        <f t="shared" si="15"/>
        <v>1</v>
      </c>
    </row>
    <row r="226" spans="1:13" x14ac:dyDescent="0.2">
      <c r="A226" s="9">
        <v>42960</v>
      </c>
      <c r="B226">
        <f t="shared" si="12"/>
        <v>13</v>
      </c>
      <c r="C226">
        <f t="shared" si="13"/>
        <v>8</v>
      </c>
      <c r="D226">
        <f t="shared" si="14"/>
        <v>2017</v>
      </c>
      <c r="E226" s="11">
        <v>3.1309999999999998</v>
      </c>
      <c r="F226" s="11">
        <v>101.54900000000001</v>
      </c>
      <c r="G226" s="11">
        <v>27.4</v>
      </c>
      <c r="H226" s="1" t="s">
        <v>0</v>
      </c>
      <c r="I226">
        <v>0</v>
      </c>
      <c r="J226" t="s">
        <v>6</v>
      </c>
      <c r="K226">
        <v>24.4</v>
      </c>
      <c r="L226">
        <v>27.7</v>
      </c>
      <c r="M226">
        <f t="shared" si="15"/>
        <v>0</v>
      </c>
    </row>
    <row r="227" spans="1:13" x14ac:dyDescent="0.2">
      <c r="A227" s="9">
        <v>42961</v>
      </c>
      <c r="B227">
        <f t="shared" si="12"/>
        <v>14</v>
      </c>
      <c r="C227">
        <f t="shared" si="13"/>
        <v>8</v>
      </c>
      <c r="D227">
        <f t="shared" si="14"/>
        <v>2017</v>
      </c>
      <c r="E227" s="11">
        <v>3.1309999999999998</v>
      </c>
      <c r="F227" s="11">
        <v>101.54900000000001</v>
      </c>
      <c r="G227" s="11">
        <v>27.4</v>
      </c>
      <c r="H227" s="1" t="s">
        <v>0</v>
      </c>
      <c r="I227">
        <v>22.1</v>
      </c>
      <c r="J227" t="s">
        <v>6</v>
      </c>
      <c r="K227" t="s">
        <v>6</v>
      </c>
      <c r="L227">
        <v>26.3</v>
      </c>
      <c r="M227">
        <f t="shared" si="15"/>
        <v>1</v>
      </c>
    </row>
    <row r="228" spans="1:13" x14ac:dyDescent="0.2">
      <c r="A228" s="9">
        <v>42962</v>
      </c>
      <c r="B228">
        <f t="shared" si="12"/>
        <v>15</v>
      </c>
      <c r="C228">
        <f t="shared" si="13"/>
        <v>8</v>
      </c>
      <c r="D228">
        <f t="shared" si="14"/>
        <v>2017</v>
      </c>
      <c r="E228" s="11">
        <v>3.1309999999999998</v>
      </c>
      <c r="F228" s="11">
        <v>101.54900000000001</v>
      </c>
      <c r="G228" s="11">
        <v>27.4</v>
      </c>
      <c r="H228" s="1" t="s">
        <v>0</v>
      </c>
      <c r="I228">
        <v>21.6</v>
      </c>
      <c r="J228" t="s">
        <v>6</v>
      </c>
      <c r="K228">
        <v>23.6</v>
      </c>
      <c r="L228">
        <v>26.7</v>
      </c>
      <c r="M228">
        <f t="shared" si="15"/>
        <v>1</v>
      </c>
    </row>
    <row r="229" spans="1:13" x14ac:dyDescent="0.2">
      <c r="A229" s="9">
        <v>42963</v>
      </c>
      <c r="B229">
        <f t="shared" si="12"/>
        <v>16</v>
      </c>
      <c r="C229">
        <f t="shared" si="13"/>
        <v>8</v>
      </c>
      <c r="D229">
        <f t="shared" si="14"/>
        <v>2017</v>
      </c>
      <c r="E229" s="11">
        <v>3.1309999999999998</v>
      </c>
      <c r="F229" s="11">
        <v>101.54900000000001</v>
      </c>
      <c r="G229" s="11">
        <v>27.4</v>
      </c>
      <c r="H229" s="1" t="s">
        <v>0</v>
      </c>
      <c r="I229">
        <v>14.7</v>
      </c>
      <c r="J229" t="s">
        <v>6</v>
      </c>
      <c r="K229">
        <v>23.4</v>
      </c>
      <c r="L229">
        <v>28.2</v>
      </c>
      <c r="M229">
        <f t="shared" si="15"/>
        <v>1</v>
      </c>
    </row>
    <row r="230" spans="1:13" x14ac:dyDescent="0.2">
      <c r="A230" s="9">
        <v>42964</v>
      </c>
      <c r="B230">
        <f t="shared" si="12"/>
        <v>17</v>
      </c>
      <c r="C230">
        <f t="shared" si="13"/>
        <v>8</v>
      </c>
      <c r="D230">
        <f t="shared" si="14"/>
        <v>2017</v>
      </c>
      <c r="E230" s="11">
        <v>3.1309999999999998</v>
      </c>
      <c r="F230" s="11">
        <v>101.54900000000001</v>
      </c>
      <c r="G230" s="11">
        <v>27.4</v>
      </c>
      <c r="H230" s="1" t="s">
        <v>0</v>
      </c>
      <c r="I230">
        <v>0.5</v>
      </c>
      <c r="J230" t="s">
        <v>6</v>
      </c>
      <c r="K230">
        <v>24.2</v>
      </c>
      <c r="L230">
        <v>28.2</v>
      </c>
      <c r="M230">
        <f t="shared" si="15"/>
        <v>1</v>
      </c>
    </row>
    <row r="231" spans="1:13" x14ac:dyDescent="0.2">
      <c r="A231" s="9">
        <v>42965</v>
      </c>
      <c r="B231">
        <f t="shared" si="12"/>
        <v>18</v>
      </c>
      <c r="C231">
        <f t="shared" si="13"/>
        <v>8</v>
      </c>
      <c r="D231">
        <f t="shared" si="14"/>
        <v>2017</v>
      </c>
      <c r="E231" s="11">
        <v>3.1309999999999998</v>
      </c>
      <c r="F231" s="11">
        <v>101.54900000000001</v>
      </c>
      <c r="G231" s="11">
        <v>27.4</v>
      </c>
      <c r="H231" s="1" t="s">
        <v>0</v>
      </c>
      <c r="I231">
        <v>1.3</v>
      </c>
      <c r="J231" t="s">
        <v>6</v>
      </c>
      <c r="K231" t="s">
        <v>6</v>
      </c>
      <c r="L231">
        <v>26.7</v>
      </c>
      <c r="M231">
        <f t="shared" si="15"/>
        <v>1</v>
      </c>
    </row>
    <row r="232" spans="1:13" x14ac:dyDescent="0.2">
      <c r="A232" s="9">
        <v>42966</v>
      </c>
      <c r="B232">
        <f t="shared" si="12"/>
        <v>19</v>
      </c>
      <c r="C232">
        <f t="shared" si="13"/>
        <v>8</v>
      </c>
      <c r="D232">
        <f t="shared" si="14"/>
        <v>2017</v>
      </c>
      <c r="E232" s="11">
        <v>3.1309999999999998</v>
      </c>
      <c r="F232" s="11">
        <v>101.54900000000001</v>
      </c>
      <c r="G232" s="11">
        <v>27.4</v>
      </c>
      <c r="H232" s="1" t="s">
        <v>0</v>
      </c>
      <c r="I232">
        <v>57.9</v>
      </c>
      <c r="J232" t="s">
        <v>6</v>
      </c>
      <c r="K232">
        <v>23.5</v>
      </c>
      <c r="L232">
        <v>27.8</v>
      </c>
      <c r="M232">
        <f t="shared" si="15"/>
        <v>1</v>
      </c>
    </row>
    <row r="233" spans="1:13" x14ac:dyDescent="0.2">
      <c r="A233" s="9">
        <v>42967</v>
      </c>
      <c r="B233">
        <f t="shared" si="12"/>
        <v>20</v>
      </c>
      <c r="C233">
        <f t="shared" si="13"/>
        <v>8</v>
      </c>
      <c r="D233">
        <f t="shared" si="14"/>
        <v>2017</v>
      </c>
      <c r="E233" s="11">
        <v>3.1309999999999998</v>
      </c>
      <c r="F233" s="11">
        <v>101.54900000000001</v>
      </c>
      <c r="G233" s="11">
        <v>27.4</v>
      </c>
      <c r="H233" s="1" t="s">
        <v>0</v>
      </c>
      <c r="I233">
        <v>5.0999999999999996</v>
      </c>
      <c r="J233" t="s">
        <v>6</v>
      </c>
      <c r="K233">
        <v>24.9</v>
      </c>
      <c r="L233">
        <v>29.3</v>
      </c>
      <c r="M233">
        <f t="shared" si="15"/>
        <v>1</v>
      </c>
    </row>
    <row r="234" spans="1:13" x14ac:dyDescent="0.2">
      <c r="A234" s="9">
        <v>42968</v>
      </c>
      <c r="B234">
        <f t="shared" si="12"/>
        <v>21</v>
      </c>
      <c r="C234">
        <f t="shared" si="13"/>
        <v>8</v>
      </c>
      <c r="D234">
        <f t="shared" si="14"/>
        <v>2017</v>
      </c>
      <c r="E234" s="11">
        <v>3.1309999999999998</v>
      </c>
      <c r="F234" s="11">
        <v>101.54900000000001</v>
      </c>
      <c r="G234" s="11">
        <v>27.4</v>
      </c>
      <c r="H234" s="1" t="s">
        <v>0</v>
      </c>
      <c r="I234">
        <v>0</v>
      </c>
      <c r="J234" t="s">
        <v>6</v>
      </c>
      <c r="K234">
        <v>25.2</v>
      </c>
      <c r="L234">
        <v>28.1</v>
      </c>
      <c r="M234">
        <f t="shared" si="15"/>
        <v>0</v>
      </c>
    </row>
    <row r="235" spans="1:13" x14ac:dyDescent="0.2">
      <c r="A235" s="9">
        <v>42969</v>
      </c>
      <c r="B235">
        <f t="shared" si="12"/>
        <v>22</v>
      </c>
      <c r="C235">
        <f t="shared" si="13"/>
        <v>8</v>
      </c>
      <c r="D235">
        <f t="shared" si="14"/>
        <v>2017</v>
      </c>
      <c r="E235" s="11">
        <v>3.1309999999999998</v>
      </c>
      <c r="F235" s="11">
        <v>101.54900000000001</v>
      </c>
      <c r="G235" s="11">
        <v>27.4</v>
      </c>
      <c r="H235" s="1" t="s">
        <v>0</v>
      </c>
      <c r="I235">
        <v>0</v>
      </c>
      <c r="J235" t="s">
        <v>6</v>
      </c>
      <c r="K235">
        <v>25.6</v>
      </c>
      <c r="L235">
        <v>29.2</v>
      </c>
      <c r="M235">
        <f t="shared" si="15"/>
        <v>0</v>
      </c>
    </row>
    <row r="236" spans="1:13" x14ac:dyDescent="0.2">
      <c r="A236" s="9">
        <v>42970</v>
      </c>
      <c r="B236">
        <f t="shared" si="12"/>
        <v>23</v>
      </c>
      <c r="C236">
        <f t="shared" si="13"/>
        <v>8</v>
      </c>
      <c r="D236">
        <f t="shared" si="14"/>
        <v>2017</v>
      </c>
      <c r="E236" s="11">
        <v>3.1309999999999998</v>
      </c>
      <c r="F236" s="11">
        <v>101.54900000000001</v>
      </c>
      <c r="G236" s="11">
        <v>27.4</v>
      </c>
      <c r="H236" s="1" t="s">
        <v>0</v>
      </c>
      <c r="I236">
        <v>0</v>
      </c>
      <c r="J236" t="s">
        <v>6</v>
      </c>
      <c r="K236">
        <v>25.9</v>
      </c>
      <c r="L236">
        <v>29.2</v>
      </c>
      <c r="M236">
        <f t="shared" si="15"/>
        <v>0</v>
      </c>
    </row>
    <row r="237" spans="1:13" x14ac:dyDescent="0.2">
      <c r="A237" s="9">
        <v>42971</v>
      </c>
      <c r="B237">
        <f t="shared" si="12"/>
        <v>24</v>
      </c>
      <c r="C237">
        <f t="shared" si="13"/>
        <v>8</v>
      </c>
      <c r="D237">
        <f t="shared" si="14"/>
        <v>2017</v>
      </c>
      <c r="E237" s="11">
        <v>3.1309999999999998</v>
      </c>
      <c r="F237" s="11">
        <v>101.54900000000001</v>
      </c>
      <c r="G237" s="11">
        <v>27.4</v>
      </c>
      <c r="H237" s="1" t="s">
        <v>0</v>
      </c>
      <c r="I237">
        <v>0</v>
      </c>
      <c r="J237" t="s">
        <v>6</v>
      </c>
      <c r="K237" t="s">
        <v>6</v>
      </c>
      <c r="L237">
        <v>29</v>
      </c>
      <c r="M237">
        <f t="shared" si="15"/>
        <v>0</v>
      </c>
    </row>
    <row r="238" spans="1:13" x14ac:dyDescent="0.2">
      <c r="A238" s="9">
        <v>42972</v>
      </c>
      <c r="B238">
        <f t="shared" si="12"/>
        <v>25</v>
      </c>
      <c r="C238">
        <f t="shared" si="13"/>
        <v>8</v>
      </c>
      <c r="D238">
        <f t="shared" si="14"/>
        <v>2017</v>
      </c>
      <c r="E238" s="11">
        <v>3.1309999999999998</v>
      </c>
      <c r="F238" s="11">
        <v>101.54900000000001</v>
      </c>
      <c r="G238" s="11">
        <v>27.4</v>
      </c>
      <c r="H238" s="1" t="s">
        <v>0</v>
      </c>
      <c r="I238">
        <v>0</v>
      </c>
      <c r="J238" t="s">
        <v>6</v>
      </c>
      <c r="K238" t="s">
        <v>6</v>
      </c>
      <c r="L238">
        <v>29.4</v>
      </c>
      <c r="M238">
        <f t="shared" si="15"/>
        <v>0</v>
      </c>
    </row>
    <row r="239" spans="1:13" x14ac:dyDescent="0.2">
      <c r="A239" s="9">
        <v>42973</v>
      </c>
      <c r="B239">
        <f t="shared" si="12"/>
        <v>26</v>
      </c>
      <c r="C239">
        <f t="shared" si="13"/>
        <v>8</v>
      </c>
      <c r="D239">
        <f t="shared" si="14"/>
        <v>2017</v>
      </c>
      <c r="E239" s="11">
        <v>3.1309999999999998</v>
      </c>
      <c r="F239" s="11">
        <v>101.54900000000001</v>
      </c>
      <c r="G239" s="11">
        <v>27.4</v>
      </c>
      <c r="H239" s="1" t="s">
        <v>0</v>
      </c>
      <c r="I239">
        <v>52.8</v>
      </c>
      <c r="J239" t="s">
        <v>6</v>
      </c>
      <c r="K239">
        <v>22.4</v>
      </c>
      <c r="L239">
        <v>26.3</v>
      </c>
      <c r="M239">
        <f t="shared" si="15"/>
        <v>1</v>
      </c>
    </row>
    <row r="240" spans="1:13" x14ac:dyDescent="0.2">
      <c r="A240" s="9">
        <v>42974</v>
      </c>
      <c r="B240">
        <f t="shared" si="12"/>
        <v>27</v>
      </c>
      <c r="C240">
        <f t="shared" si="13"/>
        <v>8</v>
      </c>
      <c r="D240">
        <f t="shared" si="14"/>
        <v>2017</v>
      </c>
      <c r="E240" s="11">
        <v>3.1309999999999998</v>
      </c>
      <c r="F240" s="11">
        <v>101.54900000000001</v>
      </c>
      <c r="G240" s="11">
        <v>27.4</v>
      </c>
      <c r="H240" s="1" t="s">
        <v>0</v>
      </c>
      <c r="I240">
        <v>4.3</v>
      </c>
      <c r="J240" t="s">
        <v>6</v>
      </c>
      <c r="K240">
        <v>22.5</v>
      </c>
      <c r="L240">
        <v>27.7</v>
      </c>
      <c r="M240">
        <f t="shared" si="15"/>
        <v>1</v>
      </c>
    </row>
    <row r="241" spans="1:13" x14ac:dyDescent="0.2">
      <c r="A241" s="9">
        <v>42975</v>
      </c>
      <c r="B241">
        <f t="shared" si="12"/>
        <v>28</v>
      </c>
      <c r="C241">
        <f t="shared" si="13"/>
        <v>8</v>
      </c>
      <c r="D241">
        <f t="shared" si="14"/>
        <v>2017</v>
      </c>
      <c r="E241" s="11">
        <v>3.1309999999999998</v>
      </c>
      <c r="F241" s="11">
        <v>101.54900000000001</v>
      </c>
      <c r="G241" s="11">
        <v>27.4</v>
      </c>
      <c r="H241" s="1" t="s">
        <v>0</v>
      </c>
      <c r="I241">
        <v>0</v>
      </c>
      <c r="J241" t="s">
        <v>6</v>
      </c>
      <c r="K241">
        <v>23.9</v>
      </c>
      <c r="L241">
        <v>27.9</v>
      </c>
      <c r="M241">
        <f t="shared" si="15"/>
        <v>0</v>
      </c>
    </row>
    <row r="242" spans="1:13" x14ac:dyDescent="0.2">
      <c r="A242" s="9">
        <v>42976</v>
      </c>
      <c r="B242">
        <f t="shared" si="12"/>
        <v>29</v>
      </c>
      <c r="C242">
        <f t="shared" si="13"/>
        <v>8</v>
      </c>
      <c r="D242">
        <f t="shared" si="14"/>
        <v>2017</v>
      </c>
      <c r="E242" s="11">
        <v>3.1309999999999998</v>
      </c>
      <c r="F242" s="11">
        <v>101.54900000000001</v>
      </c>
      <c r="G242" s="11">
        <v>27.4</v>
      </c>
      <c r="H242" s="1" t="s">
        <v>0</v>
      </c>
      <c r="I242">
        <v>0</v>
      </c>
      <c r="J242" t="s">
        <v>6</v>
      </c>
      <c r="K242">
        <v>24.5</v>
      </c>
      <c r="L242">
        <v>27.8</v>
      </c>
      <c r="M242">
        <f t="shared" si="15"/>
        <v>0</v>
      </c>
    </row>
    <row r="243" spans="1:13" x14ac:dyDescent="0.2">
      <c r="A243" s="9">
        <v>42977</v>
      </c>
      <c r="B243">
        <f t="shared" si="12"/>
        <v>30</v>
      </c>
      <c r="C243">
        <f t="shared" si="13"/>
        <v>8</v>
      </c>
      <c r="D243">
        <f t="shared" si="14"/>
        <v>2017</v>
      </c>
      <c r="E243" s="11">
        <v>3.1309999999999998</v>
      </c>
      <c r="F243" s="11">
        <v>101.54900000000001</v>
      </c>
      <c r="G243" s="11">
        <v>27.4</v>
      </c>
      <c r="H243" s="1" t="s">
        <v>0</v>
      </c>
      <c r="I243">
        <v>4.5999999999999996</v>
      </c>
      <c r="J243" t="s">
        <v>6</v>
      </c>
      <c r="K243">
        <v>24.4</v>
      </c>
      <c r="L243">
        <v>28.5</v>
      </c>
      <c r="M243">
        <f t="shared" si="15"/>
        <v>1</v>
      </c>
    </row>
    <row r="244" spans="1:13" x14ac:dyDescent="0.2">
      <c r="A244" s="9">
        <v>42978</v>
      </c>
      <c r="B244">
        <f t="shared" si="12"/>
        <v>31</v>
      </c>
      <c r="C244">
        <f t="shared" si="13"/>
        <v>8</v>
      </c>
      <c r="D244">
        <f t="shared" si="14"/>
        <v>2017</v>
      </c>
      <c r="E244" s="11">
        <v>3.1309999999999998</v>
      </c>
      <c r="F244" s="11">
        <v>101.54900000000001</v>
      </c>
      <c r="G244" s="11">
        <v>27.4</v>
      </c>
      <c r="H244" s="1" t="s">
        <v>0</v>
      </c>
      <c r="I244">
        <v>0</v>
      </c>
      <c r="J244" t="s">
        <v>6</v>
      </c>
      <c r="K244">
        <v>25.5</v>
      </c>
      <c r="L244">
        <v>28.6</v>
      </c>
      <c r="M244">
        <f t="shared" si="15"/>
        <v>0</v>
      </c>
    </row>
    <row r="245" spans="1:13" x14ac:dyDescent="0.2">
      <c r="A245" s="9">
        <v>42979</v>
      </c>
      <c r="B245">
        <f t="shared" si="12"/>
        <v>1</v>
      </c>
      <c r="C245">
        <f t="shared" si="13"/>
        <v>9</v>
      </c>
      <c r="D245">
        <f t="shared" si="14"/>
        <v>2017</v>
      </c>
      <c r="E245" s="11">
        <v>3.1309999999999998</v>
      </c>
      <c r="F245" s="11">
        <v>101.54900000000001</v>
      </c>
      <c r="G245" s="11">
        <v>27.4</v>
      </c>
      <c r="H245" s="1" t="s">
        <v>0</v>
      </c>
      <c r="I245">
        <v>0</v>
      </c>
      <c r="J245" t="s">
        <v>6</v>
      </c>
      <c r="K245" t="s">
        <v>6</v>
      </c>
      <c r="L245">
        <v>26.4</v>
      </c>
      <c r="M245">
        <f t="shared" si="15"/>
        <v>0</v>
      </c>
    </row>
    <row r="246" spans="1:13" x14ac:dyDescent="0.2">
      <c r="A246" s="9">
        <v>42980</v>
      </c>
      <c r="B246">
        <f t="shared" si="12"/>
        <v>2</v>
      </c>
      <c r="C246">
        <f t="shared" si="13"/>
        <v>9</v>
      </c>
      <c r="D246">
        <f t="shared" si="14"/>
        <v>2017</v>
      </c>
      <c r="E246" s="11">
        <v>3.1309999999999998</v>
      </c>
      <c r="F246" s="11">
        <v>101.54900000000001</v>
      </c>
      <c r="G246" s="11">
        <v>27.4</v>
      </c>
      <c r="H246" s="1" t="s">
        <v>0</v>
      </c>
      <c r="I246">
        <v>20.3</v>
      </c>
      <c r="J246" t="s">
        <v>6</v>
      </c>
      <c r="K246" t="s">
        <v>6</v>
      </c>
      <c r="L246">
        <v>27.3</v>
      </c>
      <c r="M246">
        <f t="shared" si="15"/>
        <v>1</v>
      </c>
    </row>
    <row r="247" spans="1:13" x14ac:dyDescent="0.2">
      <c r="A247" s="9">
        <v>42981</v>
      </c>
      <c r="B247">
        <f t="shared" si="12"/>
        <v>3</v>
      </c>
      <c r="C247">
        <f t="shared" si="13"/>
        <v>9</v>
      </c>
      <c r="D247">
        <f t="shared" si="14"/>
        <v>2017</v>
      </c>
      <c r="E247" s="11">
        <v>3.1309999999999998</v>
      </c>
      <c r="F247" s="11">
        <v>101.54900000000001</v>
      </c>
      <c r="G247" s="11">
        <v>27.4</v>
      </c>
      <c r="H247" s="1" t="s">
        <v>0</v>
      </c>
      <c r="I247">
        <v>55.9</v>
      </c>
      <c r="J247" t="s">
        <v>6</v>
      </c>
      <c r="K247">
        <v>22.9</v>
      </c>
      <c r="L247">
        <v>25.9</v>
      </c>
      <c r="M247">
        <f t="shared" si="15"/>
        <v>1</v>
      </c>
    </row>
    <row r="248" spans="1:13" x14ac:dyDescent="0.2">
      <c r="A248" s="9">
        <v>42982</v>
      </c>
      <c r="B248">
        <f t="shared" si="12"/>
        <v>4</v>
      </c>
      <c r="C248">
        <f t="shared" si="13"/>
        <v>9</v>
      </c>
      <c r="D248">
        <f t="shared" si="14"/>
        <v>2017</v>
      </c>
      <c r="E248" s="11">
        <v>3.1309999999999998</v>
      </c>
      <c r="F248" s="11">
        <v>101.54900000000001</v>
      </c>
      <c r="G248" s="11">
        <v>27.4</v>
      </c>
      <c r="H248" s="1" t="s">
        <v>0</v>
      </c>
      <c r="I248">
        <v>0.3</v>
      </c>
      <c r="J248" t="s">
        <v>6</v>
      </c>
      <c r="K248">
        <v>23.4</v>
      </c>
      <c r="L248">
        <v>27.8</v>
      </c>
      <c r="M248">
        <f t="shared" si="15"/>
        <v>1</v>
      </c>
    </row>
    <row r="249" spans="1:13" x14ac:dyDescent="0.2">
      <c r="A249" s="9">
        <v>42983</v>
      </c>
      <c r="B249">
        <f t="shared" si="12"/>
        <v>5</v>
      </c>
      <c r="C249">
        <f t="shared" si="13"/>
        <v>9</v>
      </c>
      <c r="D249">
        <f t="shared" si="14"/>
        <v>2017</v>
      </c>
      <c r="E249" s="11">
        <v>3.1309999999999998</v>
      </c>
      <c r="F249" s="11">
        <v>101.54900000000001</v>
      </c>
      <c r="G249" s="11">
        <v>27.4</v>
      </c>
      <c r="H249" s="1" t="s">
        <v>0</v>
      </c>
      <c r="I249">
        <v>0</v>
      </c>
      <c r="J249" t="s">
        <v>6</v>
      </c>
      <c r="K249" t="s">
        <v>6</v>
      </c>
      <c r="L249">
        <v>26.3</v>
      </c>
      <c r="M249">
        <f t="shared" si="15"/>
        <v>0</v>
      </c>
    </row>
    <row r="250" spans="1:13" x14ac:dyDescent="0.2">
      <c r="A250" s="9">
        <v>42984</v>
      </c>
      <c r="B250">
        <f t="shared" si="12"/>
        <v>6</v>
      </c>
      <c r="C250">
        <f t="shared" si="13"/>
        <v>9</v>
      </c>
      <c r="D250">
        <f t="shared" si="14"/>
        <v>2017</v>
      </c>
      <c r="E250" s="11">
        <v>3.1309999999999998</v>
      </c>
      <c r="F250" s="11">
        <v>101.54900000000001</v>
      </c>
      <c r="G250" s="11">
        <v>27.4</v>
      </c>
      <c r="H250" s="1" t="s">
        <v>0</v>
      </c>
      <c r="I250">
        <v>30.5</v>
      </c>
      <c r="J250" t="s">
        <v>6</v>
      </c>
      <c r="K250">
        <v>24.1</v>
      </c>
      <c r="L250">
        <v>28.1</v>
      </c>
      <c r="M250">
        <f t="shared" si="15"/>
        <v>1</v>
      </c>
    </row>
    <row r="251" spans="1:13" x14ac:dyDescent="0.2">
      <c r="A251" s="9">
        <v>42985</v>
      </c>
      <c r="B251">
        <f t="shared" si="12"/>
        <v>7</v>
      </c>
      <c r="C251">
        <f t="shared" si="13"/>
        <v>9</v>
      </c>
      <c r="D251">
        <f t="shared" si="14"/>
        <v>2017</v>
      </c>
      <c r="E251" s="11">
        <v>3.1309999999999998</v>
      </c>
      <c r="F251" s="11">
        <v>101.54900000000001</v>
      </c>
      <c r="G251" s="11">
        <v>27.4</v>
      </c>
      <c r="H251" s="1" t="s">
        <v>0</v>
      </c>
      <c r="I251">
        <v>2.2999999999999998</v>
      </c>
      <c r="J251" t="s">
        <v>6</v>
      </c>
      <c r="K251">
        <v>24.7</v>
      </c>
      <c r="L251">
        <v>28.1</v>
      </c>
      <c r="M251">
        <f t="shared" si="15"/>
        <v>1</v>
      </c>
    </row>
    <row r="252" spans="1:13" x14ac:dyDescent="0.2">
      <c r="A252" s="9">
        <v>42986</v>
      </c>
      <c r="B252">
        <f t="shared" si="12"/>
        <v>8</v>
      </c>
      <c r="C252">
        <f t="shared" si="13"/>
        <v>9</v>
      </c>
      <c r="D252">
        <f t="shared" si="14"/>
        <v>2017</v>
      </c>
      <c r="E252" s="11">
        <v>3.1309999999999998</v>
      </c>
      <c r="F252" s="11">
        <v>101.54900000000001</v>
      </c>
      <c r="G252" s="11">
        <v>27.4</v>
      </c>
      <c r="H252" s="1" t="s">
        <v>0</v>
      </c>
      <c r="I252">
        <v>1.5</v>
      </c>
      <c r="J252" t="s">
        <v>6</v>
      </c>
      <c r="K252" t="s">
        <v>6</v>
      </c>
      <c r="L252">
        <v>27.3</v>
      </c>
      <c r="M252">
        <f t="shared" si="15"/>
        <v>1</v>
      </c>
    </row>
    <row r="253" spans="1:13" x14ac:dyDescent="0.2">
      <c r="A253" s="9">
        <v>42987</v>
      </c>
      <c r="B253">
        <f t="shared" si="12"/>
        <v>9</v>
      </c>
      <c r="C253">
        <f t="shared" si="13"/>
        <v>9</v>
      </c>
      <c r="D253">
        <f t="shared" si="14"/>
        <v>2017</v>
      </c>
      <c r="E253" s="11">
        <v>3.1309999999999998</v>
      </c>
      <c r="F253" s="11">
        <v>101.54900000000001</v>
      </c>
      <c r="G253" s="11">
        <v>27.4</v>
      </c>
      <c r="H253" s="1" t="s">
        <v>0</v>
      </c>
      <c r="I253">
        <v>20.8</v>
      </c>
      <c r="J253" t="s">
        <v>6</v>
      </c>
      <c r="K253">
        <v>24.8</v>
      </c>
      <c r="L253">
        <v>26.9</v>
      </c>
      <c r="M253">
        <f t="shared" si="15"/>
        <v>1</v>
      </c>
    </row>
    <row r="254" spans="1:13" x14ac:dyDescent="0.2">
      <c r="A254" s="9">
        <v>42988</v>
      </c>
      <c r="B254">
        <f t="shared" si="12"/>
        <v>10</v>
      </c>
      <c r="C254">
        <f t="shared" si="13"/>
        <v>9</v>
      </c>
      <c r="D254">
        <f t="shared" si="14"/>
        <v>2017</v>
      </c>
      <c r="E254" s="11">
        <v>3.1309999999999998</v>
      </c>
      <c r="F254" s="11">
        <v>101.54900000000001</v>
      </c>
      <c r="G254" s="11">
        <v>27.4</v>
      </c>
      <c r="H254" s="1" t="s">
        <v>0</v>
      </c>
      <c r="I254">
        <v>13.7</v>
      </c>
      <c r="J254" t="s">
        <v>6</v>
      </c>
      <c r="K254" t="s">
        <v>6</v>
      </c>
      <c r="L254">
        <v>27.9</v>
      </c>
      <c r="M254">
        <f t="shared" si="15"/>
        <v>1</v>
      </c>
    </row>
    <row r="255" spans="1:13" x14ac:dyDescent="0.2">
      <c r="A255" s="9">
        <v>42989</v>
      </c>
      <c r="B255">
        <f t="shared" si="12"/>
        <v>11</v>
      </c>
      <c r="C255">
        <f t="shared" si="13"/>
        <v>9</v>
      </c>
      <c r="D255">
        <f t="shared" si="14"/>
        <v>2017</v>
      </c>
      <c r="E255" s="11">
        <v>3.1309999999999998</v>
      </c>
      <c r="F255" s="11">
        <v>101.54900000000001</v>
      </c>
      <c r="G255" s="11">
        <v>27.4</v>
      </c>
      <c r="H255" s="1" t="s">
        <v>0</v>
      </c>
      <c r="I255">
        <v>6.9</v>
      </c>
      <c r="J255" t="s">
        <v>6</v>
      </c>
      <c r="K255" t="s">
        <v>6</v>
      </c>
      <c r="L255">
        <v>26.6</v>
      </c>
      <c r="M255">
        <f t="shared" si="15"/>
        <v>1</v>
      </c>
    </row>
    <row r="256" spans="1:13" x14ac:dyDescent="0.2">
      <c r="A256" s="9">
        <v>42990</v>
      </c>
      <c r="B256">
        <f t="shared" si="12"/>
        <v>12</v>
      </c>
      <c r="C256">
        <f t="shared" si="13"/>
        <v>9</v>
      </c>
      <c r="D256">
        <f t="shared" si="14"/>
        <v>2017</v>
      </c>
      <c r="E256" s="11">
        <v>3.1309999999999998</v>
      </c>
      <c r="F256" s="11">
        <v>101.54900000000001</v>
      </c>
      <c r="G256" s="11">
        <v>27.4</v>
      </c>
      <c r="H256" s="1" t="s">
        <v>0</v>
      </c>
      <c r="I256">
        <v>0.5</v>
      </c>
      <c r="J256" t="s">
        <v>6</v>
      </c>
      <c r="K256">
        <v>23.8</v>
      </c>
      <c r="L256">
        <v>28.9</v>
      </c>
      <c r="M256">
        <f t="shared" si="15"/>
        <v>1</v>
      </c>
    </row>
    <row r="257" spans="1:13" x14ac:dyDescent="0.2">
      <c r="A257" s="9">
        <v>42991</v>
      </c>
      <c r="B257">
        <f t="shared" si="12"/>
        <v>13</v>
      </c>
      <c r="C257">
        <f t="shared" si="13"/>
        <v>9</v>
      </c>
      <c r="D257">
        <f t="shared" si="14"/>
        <v>2017</v>
      </c>
      <c r="E257" s="11">
        <v>3.1309999999999998</v>
      </c>
      <c r="F257" s="11">
        <v>101.54900000000001</v>
      </c>
      <c r="G257" s="11">
        <v>27.4</v>
      </c>
      <c r="H257" s="1" t="s">
        <v>0</v>
      </c>
      <c r="I257">
        <v>0</v>
      </c>
      <c r="J257" t="s">
        <v>6</v>
      </c>
      <c r="K257">
        <v>24.4</v>
      </c>
      <c r="L257">
        <v>27.6</v>
      </c>
      <c r="M257">
        <f t="shared" si="15"/>
        <v>0</v>
      </c>
    </row>
    <row r="258" spans="1:13" x14ac:dyDescent="0.2">
      <c r="A258" s="9">
        <v>42992</v>
      </c>
      <c r="B258">
        <f t="shared" si="12"/>
        <v>14</v>
      </c>
      <c r="C258">
        <f t="shared" si="13"/>
        <v>9</v>
      </c>
      <c r="D258">
        <f t="shared" si="14"/>
        <v>2017</v>
      </c>
      <c r="E258" s="11">
        <v>3.1309999999999998</v>
      </c>
      <c r="F258" s="11">
        <v>101.54900000000001</v>
      </c>
      <c r="G258" s="11">
        <v>27.4</v>
      </c>
      <c r="H258" s="1" t="s">
        <v>0</v>
      </c>
      <c r="I258">
        <v>0.8</v>
      </c>
      <c r="J258" t="s">
        <v>6</v>
      </c>
      <c r="K258" t="s">
        <v>6</v>
      </c>
      <c r="L258">
        <v>27.8</v>
      </c>
      <c r="M258">
        <f t="shared" si="15"/>
        <v>1</v>
      </c>
    </row>
    <row r="259" spans="1:13" x14ac:dyDescent="0.2">
      <c r="A259" s="9">
        <v>42993</v>
      </c>
      <c r="B259">
        <f t="shared" ref="B259:B322" si="16">DAY(A259)</f>
        <v>15</v>
      </c>
      <c r="C259">
        <f t="shared" ref="C259:C322" si="17">MONTH(A259)</f>
        <v>9</v>
      </c>
      <c r="D259">
        <f t="shared" ref="D259:D322" si="18">YEAR(A259)</f>
        <v>2017</v>
      </c>
      <c r="E259" s="11">
        <v>3.1309999999999998</v>
      </c>
      <c r="F259" s="11">
        <v>101.54900000000001</v>
      </c>
      <c r="G259" s="11">
        <v>27.4</v>
      </c>
      <c r="H259" s="1" t="s">
        <v>0</v>
      </c>
      <c r="I259">
        <v>2</v>
      </c>
      <c r="J259" t="s">
        <v>6</v>
      </c>
      <c r="K259" t="s">
        <v>6</v>
      </c>
      <c r="L259">
        <v>26.3</v>
      </c>
      <c r="M259">
        <f t="shared" ref="M259:M322" si="19">IF(ISNUMBER(I259), IF(I259&gt;0, 1, 0), "")</f>
        <v>1</v>
      </c>
    </row>
    <row r="260" spans="1:13" x14ac:dyDescent="0.2">
      <c r="A260" s="9">
        <v>42994</v>
      </c>
      <c r="B260">
        <f t="shared" si="16"/>
        <v>16</v>
      </c>
      <c r="C260">
        <f t="shared" si="17"/>
        <v>9</v>
      </c>
      <c r="D260">
        <f t="shared" si="18"/>
        <v>2017</v>
      </c>
      <c r="E260" s="11">
        <v>3.1309999999999998</v>
      </c>
      <c r="F260" s="11">
        <v>101.54900000000001</v>
      </c>
      <c r="G260" s="11">
        <v>27.4</v>
      </c>
      <c r="H260" s="1" t="s">
        <v>0</v>
      </c>
      <c r="I260">
        <v>6.9</v>
      </c>
      <c r="J260" t="s">
        <v>6</v>
      </c>
      <c r="K260">
        <v>23.6</v>
      </c>
      <c r="L260">
        <v>28.1</v>
      </c>
      <c r="M260">
        <f t="shared" si="19"/>
        <v>1</v>
      </c>
    </row>
    <row r="261" spans="1:13" x14ac:dyDescent="0.2">
      <c r="A261" s="9">
        <v>42995</v>
      </c>
      <c r="B261">
        <f t="shared" si="16"/>
        <v>17</v>
      </c>
      <c r="C261">
        <f t="shared" si="17"/>
        <v>9</v>
      </c>
      <c r="D261">
        <f t="shared" si="18"/>
        <v>2017</v>
      </c>
      <c r="E261" s="11">
        <v>3.1309999999999998</v>
      </c>
      <c r="F261" s="11">
        <v>101.54900000000001</v>
      </c>
      <c r="G261" s="11">
        <v>27.4</v>
      </c>
      <c r="H261" s="1" t="s">
        <v>0</v>
      </c>
      <c r="I261">
        <v>0</v>
      </c>
      <c r="J261" t="s">
        <v>6</v>
      </c>
      <c r="K261">
        <v>24.5</v>
      </c>
      <c r="L261">
        <v>27.8</v>
      </c>
      <c r="M261">
        <f t="shared" si="19"/>
        <v>0</v>
      </c>
    </row>
    <row r="262" spans="1:13" x14ac:dyDescent="0.2">
      <c r="A262" s="9">
        <v>42996</v>
      </c>
      <c r="B262">
        <f t="shared" si="16"/>
        <v>18</v>
      </c>
      <c r="C262">
        <f t="shared" si="17"/>
        <v>9</v>
      </c>
      <c r="D262">
        <f t="shared" si="18"/>
        <v>2017</v>
      </c>
      <c r="E262" s="11">
        <v>3.1309999999999998</v>
      </c>
      <c r="F262" s="11">
        <v>101.54900000000001</v>
      </c>
      <c r="G262" s="11">
        <v>27.4</v>
      </c>
      <c r="H262" s="1" t="s">
        <v>0</v>
      </c>
      <c r="I262">
        <v>15.5</v>
      </c>
      <c r="J262" t="s">
        <v>6</v>
      </c>
      <c r="K262" t="s">
        <v>6</v>
      </c>
      <c r="L262">
        <v>26.1</v>
      </c>
      <c r="M262">
        <f t="shared" si="19"/>
        <v>1</v>
      </c>
    </row>
    <row r="263" spans="1:13" x14ac:dyDescent="0.2">
      <c r="A263" s="9">
        <v>42997</v>
      </c>
      <c r="B263">
        <f t="shared" si="16"/>
        <v>19</v>
      </c>
      <c r="C263">
        <f t="shared" si="17"/>
        <v>9</v>
      </c>
      <c r="D263">
        <f t="shared" si="18"/>
        <v>2017</v>
      </c>
      <c r="E263" s="11">
        <v>3.1309999999999998</v>
      </c>
      <c r="F263" s="11">
        <v>101.54900000000001</v>
      </c>
      <c r="G263" s="11">
        <v>27.4</v>
      </c>
      <c r="H263" s="1" t="s">
        <v>0</v>
      </c>
      <c r="I263">
        <v>39.1</v>
      </c>
      <c r="J263" t="s">
        <v>6</v>
      </c>
      <c r="K263">
        <v>23.7</v>
      </c>
      <c r="L263">
        <v>26.3</v>
      </c>
      <c r="M263">
        <f t="shared" si="19"/>
        <v>1</v>
      </c>
    </row>
    <row r="264" spans="1:13" x14ac:dyDescent="0.2">
      <c r="A264" s="9">
        <v>42998</v>
      </c>
      <c r="B264">
        <f t="shared" si="16"/>
        <v>20</v>
      </c>
      <c r="C264">
        <f t="shared" si="17"/>
        <v>9</v>
      </c>
      <c r="D264">
        <f t="shared" si="18"/>
        <v>2017</v>
      </c>
      <c r="E264" s="11">
        <v>3.1309999999999998</v>
      </c>
      <c r="F264" s="11">
        <v>101.54900000000001</v>
      </c>
      <c r="G264" s="11">
        <v>27.4</v>
      </c>
      <c r="H264" s="1" t="s">
        <v>0</v>
      </c>
      <c r="I264">
        <v>18.8</v>
      </c>
      <c r="J264" t="s">
        <v>6</v>
      </c>
      <c r="K264">
        <v>23.7</v>
      </c>
      <c r="L264">
        <v>26.1</v>
      </c>
      <c r="M264">
        <f t="shared" si="19"/>
        <v>1</v>
      </c>
    </row>
    <row r="265" spans="1:13" x14ac:dyDescent="0.2">
      <c r="A265" s="9">
        <v>42999</v>
      </c>
      <c r="B265">
        <f t="shared" si="16"/>
        <v>21</v>
      </c>
      <c r="C265">
        <f t="shared" si="17"/>
        <v>9</v>
      </c>
      <c r="D265">
        <f t="shared" si="18"/>
        <v>2017</v>
      </c>
      <c r="E265" s="11">
        <v>3.1309999999999998</v>
      </c>
      <c r="F265" s="11">
        <v>101.54900000000001</v>
      </c>
      <c r="G265" s="11">
        <v>27.4</v>
      </c>
      <c r="H265" s="1" t="s">
        <v>0</v>
      </c>
      <c r="I265">
        <v>4.3</v>
      </c>
      <c r="J265" t="s">
        <v>6</v>
      </c>
      <c r="K265">
        <v>24</v>
      </c>
      <c r="L265">
        <v>27.4</v>
      </c>
      <c r="M265">
        <f t="shared" si="19"/>
        <v>1</v>
      </c>
    </row>
    <row r="266" spans="1:13" x14ac:dyDescent="0.2">
      <c r="A266" s="9">
        <v>43000</v>
      </c>
      <c r="B266">
        <f t="shared" si="16"/>
        <v>22</v>
      </c>
      <c r="C266">
        <f t="shared" si="17"/>
        <v>9</v>
      </c>
      <c r="D266">
        <f t="shared" si="18"/>
        <v>2017</v>
      </c>
      <c r="E266" s="11">
        <v>3.1309999999999998</v>
      </c>
      <c r="F266" s="11">
        <v>101.54900000000001</v>
      </c>
      <c r="G266" s="11">
        <v>27.4</v>
      </c>
      <c r="H266" s="1" t="s">
        <v>0</v>
      </c>
      <c r="I266">
        <v>0</v>
      </c>
      <c r="J266" t="s">
        <v>6</v>
      </c>
      <c r="K266">
        <v>24.1</v>
      </c>
      <c r="L266">
        <v>28.8</v>
      </c>
      <c r="M266">
        <f t="shared" si="19"/>
        <v>0</v>
      </c>
    </row>
    <row r="267" spans="1:13" x14ac:dyDescent="0.2">
      <c r="A267" s="9">
        <v>43001</v>
      </c>
      <c r="B267">
        <f t="shared" si="16"/>
        <v>23</v>
      </c>
      <c r="C267">
        <f t="shared" si="17"/>
        <v>9</v>
      </c>
      <c r="D267">
        <f t="shared" si="18"/>
        <v>2017</v>
      </c>
      <c r="E267" s="11">
        <v>3.1309999999999998</v>
      </c>
      <c r="F267" s="11">
        <v>101.54900000000001</v>
      </c>
      <c r="G267" s="11">
        <v>27.4</v>
      </c>
      <c r="H267" s="1" t="s">
        <v>0</v>
      </c>
      <c r="I267">
        <v>0</v>
      </c>
      <c r="J267" t="s">
        <v>6</v>
      </c>
      <c r="K267">
        <v>24.7</v>
      </c>
      <c r="L267">
        <v>27.3</v>
      </c>
      <c r="M267">
        <f t="shared" si="19"/>
        <v>0</v>
      </c>
    </row>
    <row r="268" spans="1:13" x14ac:dyDescent="0.2">
      <c r="A268" s="9">
        <v>43002</v>
      </c>
      <c r="B268">
        <f t="shared" si="16"/>
        <v>24</v>
      </c>
      <c r="C268">
        <f t="shared" si="17"/>
        <v>9</v>
      </c>
      <c r="D268">
        <f t="shared" si="18"/>
        <v>2017</v>
      </c>
      <c r="E268" s="11">
        <v>3.1309999999999998</v>
      </c>
      <c r="F268" s="11">
        <v>101.54900000000001</v>
      </c>
      <c r="G268" s="11">
        <v>27.4</v>
      </c>
      <c r="H268" s="1" t="s">
        <v>0</v>
      </c>
      <c r="I268">
        <v>0</v>
      </c>
      <c r="J268" t="s">
        <v>6</v>
      </c>
      <c r="K268">
        <v>24.6</v>
      </c>
      <c r="L268">
        <v>29.2</v>
      </c>
      <c r="M268">
        <f t="shared" si="19"/>
        <v>0</v>
      </c>
    </row>
    <row r="269" spans="1:13" x14ac:dyDescent="0.2">
      <c r="A269" s="9">
        <v>43003</v>
      </c>
      <c r="B269">
        <f t="shared" si="16"/>
        <v>25</v>
      </c>
      <c r="C269">
        <f t="shared" si="17"/>
        <v>9</v>
      </c>
      <c r="D269">
        <f t="shared" si="18"/>
        <v>2017</v>
      </c>
      <c r="E269" s="11">
        <v>3.1309999999999998</v>
      </c>
      <c r="F269" s="11">
        <v>101.54900000000001</v>
      </c>
      <c r="G269" s="11">
        <v>27.4</v>
      </c>
      <c r="H269" s="1" t="s">
        <v>0</v>
      </c>
      <c r="I269">
        <v>0</v>
      </c>
      <c r="J269" t="s">
        <v>6</v>
      </c>
      <c r="K269">
        <v>25.5</v>
      </c>
      <c r="L269">
        <v>28.4</v>
      </c>
      <c r="M269">
        <f t="shared" si="19"/>
        <v>0</v>
      </c>
    </row>
    <row r="270" spans="1:13" x14ac:dyDescent="0.2">
      <c r="A270" s="9">
        <v>43004</v>
      </c>
      <c r="B270">
        <f t="shared" si="16"/>
        <v>26</v>
      </c>
      <c r="C270">
        <f t="shared" si="17"/>
        <v>9</v>
      </c>
      <c r="D270">
        <f t="shared" si="18"/>
        <v>2017</v>
      </c>
      <c r="E270" s="11">
        <v>3.1309999999999998</v>
      </c>
      <c r="F270" s="11">
        <v>101.54900000000001</v>
      </c>
      <c r="G270" s="11">
        <v>27.4</v>
      </c>
      <c r="H270" s="1" t="s">
        <v>0</v>
      </c>
      <c r="I270">
        <v>1</v>
      </c>
      <c r="J270" t="s">
        <v>6</v>
      </c>
      <c r="K270" t="s">
        <v>6</v>
      </c>
      <c r="L270">
        <v>28.1</v>
      </c>
      <c r="M270">
        <f t="shared" si="19"/>
        <v>1</v>
      </c>
    </row>
    <row r="271" spans="1:13" x14ac:dyDescent="0.2">
      <c r="A271" s="9">
        <v>43005</v>
      </c>
      <c r="B271">
        <f t="shared" si="16"/>
        <v>27</v>
      </c>
      <c r="C271">
        <f t="shared" si="17"/>
        <v>9</v>
      </c>
      <c r="D271">
        <f t="shared" si="18"/>
        <v>2017</v>
      </c>
      <c r="E271" s="11">
        <v>3.1309999999999998</v>
      </c>
      <c r="F271" s="11">
        <v>101.54900000000001</v>
      </c>
      <c r="G271" s="11">
        <v>27.4</v>
      </c>
      <c r="H271" s="1" t="s">
        <v>0</v>
      </c>
      <c r="I271">
        <v>0.3</v>
      </c>
      <c r="J271" t="s">
        <v>6</v>
      </c>
      <c r="K271" t="s">
        <v>6</v>
      </c>
      <c r="L271">
        <v>28.7</v>
      </c>
      <c r="M271">
        <f t="shared" si="19"/>
        <v>1</v>
      </c>
    </row>
    <row r="272" spans="1:13" x14ac:dyDescent="0.2">
      <c r="A272" s="9">
        <v>43006</v>
      </c>
      <c r="B272">
        <f t="shared" si="16"/>
        <v>28</v>
      </c>
      <c r="C272">
        <f t="shared" si="17"/>
        <v>9</v>
      </c>
      <c r="D272">
        <f t="shared" si="18"/>
        <v>2017</v>
      </c>
      <c r="E272" s="11">
        <v>3.1309999999999998</v>
      </c>
      <c r="F272" s="11">
        <v>101.54900000000001</v>
      </c>
      <c r="G272" s="11">
        <v>27.4</v>
      </c>
      <c r="H272" s="1" t="s">
        <v>0</v>
      </c>
      <c r="I272">
        <v>0</v>
      </c>
      <c r="J272" t="s">
        <v>6</v>
      </c>
      <c r="K272" t="s">
        <v>6</v>
      </c>
      <c r="L272">
        <v>28.2</v>
      </c>
      <c r="M272">
        <f t="shared" si="19"/>
        <v>0</v>
      </c>
    </row>
    <row r="273" spans="1:13" x14ac:dyDescent="0.2">
      <c r="A273" s="9">
        <v>43007</v>
      </c>
      <c r="B273">
        <f t="shared" si="16"/>
        <v>29</v>
      </c>
      <c r="C273">
        <f t="shared" si="17"/>
        <v>9</v>
      </c>
      <c r="D273">
        <f t="shared" si="18"/>
        <v>2017</v>
      </c>
      <c r="E273" s="11">
        <v>3.1309999999999998</v>
      </c>
      <c r="F273" s="11">
        <v>101.54900000000001</v>
      </c>
      <c r="G273" s="11">
        <v>27.4</v>
      </c>
      <c r="H273" s="1" t="s">
        <v>0</v>
      </c>
      <c r="I273">
        <v>6.1</v>
      </c>
      <c r="J273" t="s">
        <v>6</v>
      </c>
      <c r="K273" t="s">
        <v>6</v>
      </c>
      <c r="L273">
        <v>26.2</v>
      </c>
      <c r="M273">
        <f t="shared" si="19"/>
        <v>1</v>
      </c>
    </row>
    <row r="274" spans="1:13" x14ac:dyDescent="0.2">
      <c r="A274" s="9">
        <v>43008</v>
      </c>
      <c r="B274">
        <f t="shared" si="16"/>
        <v>30</v>
      </c>
      <c r="C274">
        <f t="shared" si="17"/>
        <v>9</v>
      </c>
      <c r="D274">
        <f t="shared" si="18"/>
        <v>2017</v>
      </c>
      <c r="E274" s="11">
        <v>3.1309999999999998</v>
      </c>
      <c r="F274" s="11">
        <v>101.54900000000001</v>
      </c>
      <c r="G274" s="11">
        <v>27.4</v>
      </c>
      <c r="H274" s="1" t="s">
        <v>0</v>
      </c>
      <c r="I274">
        <v>14</v>
      </c>
      <c r="J274" t="s">
        <v>6</v>
      </c>
      <c r="K274">
        <v>24.6</v>
      </c>
      <c r="L274">
        <v>27.3</v>
      </c>
      <c r="M274">
        <f t="shared" si="19"/>
        <v>1</v>
      </c>
    </row>
    <row r="275" spans="1:13" x14ac:dyDescent="0.2">
      <c r="A275" s="9">
        <v>43009</v>
      </c>
      <c r="B275">
        <f t="shared" si="16"/>
        <v>1</v>
      </c>
      <c r="C275">
        <f t="shared" si="17"/>
        <v>10</v>
      </c>
      <c r="D275">
        <f t="shared" si="18"/>
        <v>2017</v>
      </c>
      <c r="E275" s="11">
        <v>3.1309999999999998</v>
      </c>
      <c r="F275" s="11">
        <v>101.54900000000001</v>
      </c>
      <c r="G275" s="11">
        <v>27.4</v>
      </c>
      <c r="H275" s="1" t="s">
        <v>0</v>
      </c>
      <c r="I275">
        <v>6.6</v>
      </c>
      <c r="J275" t="s">
        <v>6</v>
      </c>
      <c r="K275" t="s">
        <v>6</v>
      </c>
      <c r="L275">
        <v>26.8</v>
      </c>
      <c r="M275">
        <f t="shared" si="19"/>
        <v>1</v>
      </c>
    </row>
    <row r="276" spans="1:13" x14ac:dyDescent="0.2">
      <c r="A276" s="9">
        <v>43010</v>
      </c>
      <c r="B276">
        <f t="shared" si="16"/>
        <v>2</v>
      </c>
      <c r="C276">
        <f t="shared" si="17"/>
        <v>10</v>
      </c>
      <c r="D276">
        <f t="shared" si="18"/>
        <v>2017</v>
      </c>
      <c r="E276" s="11">
        <v>3.1309999999999998</v>
      </c>
      <c r="F276" s="11">
        <v>101.54900000000001</v>
      </c>
      <c r="G276" s="11">
        <v>27.4</v>
      </c>
      <c r="H276" s="1" t="s">
        <v>0</v>
      </c>
      <c r="I276">
        <v>3.8</v>
      </c>
      <c r="J276" t="s">
        <v>6</v>
      </c>
      <c r="K276">
        <v>23.1</v>
      </c>
      <c r="L276">
        <v>26.7</v>
      </c>
      <c r="M276">
        <f t="shared" si="19"/>
        <v>1</v>
      </c>
    </row>
    <row r="277" spans="1:13" x14ac:dyDescent="0.2">
      <c r="A277" s="9">
        <v>43011</v>
      </c>
      <c r="B277">
        <f t="shared" si="16"/>
        <v>3</v>
      </c>
      <c r="C277">
        <f t="shared" si="17"/>
        <v>10</v>
      </c>
      <c r="D277">
        <f t="shared" si="18"/>
        <v>2017</v>
      </c>
      <c r="E277" s="11">
        <v>3.1309999999999998</v>
      </c>
      <c r="F277" s="11">
        <v>101.54900000000001</v>
      </c>
      <c r="G277" s="11">
        <v>27.4</v>
      </c>
      <c r="H277" s="1" t="s">
        <v>0</v>
      </c>
      <c r="I277">
        <v>0</v>
      </c>
      <c r="J277" t="s">
        <v>6</v>
      </c>
      <c r="K277">
        <v>23.9</v>
      </c>
      <c r="L277">
        <v>29</v>
      </c>
      <c r="M277">
        <f t="shared" si="19"/>
        <v>0</v>
      </c>
    </row>
    <row r="278" spans="1:13" x14ac:dyDescent="0.2">
      <c r="A278" s="9">
        <v>43012</v>
      </c>
      <c r="B278">
        <f t="shared" si="16"/>
        <v>4</v>
      </c>
      <c r="C278">
        <f t="shared" si="17"/>
        <v>10</v>
      </c>
      <c r="D278">
        <f t="shared" si="18"/>
        <v>2017</v>
      </c>
      <c r="E278" s="11">
        <v>3.1309999999999998</v>
      </c>
      <c r="F278" s="11">
        <v>101.54900000000001</v>
      </c>
      <c r="G278" s="11">
        <v>27.4</v>
      </c>
      <c r="H278" s="1" t="s">
        <v>0</v>
      </c>
      <c r="I278">
        <v>0</v>
      </c>
      <c r="J278" t="s">
        <v>6</v>
      </c>
      <c r="K278" t="s">
        <v>6</v>
      </c>
      <c r="L278">
        <v>26.1</v>
      </c>
      <c r="M278">
        <f t="shared" si="19"/>
        <v>0</v>
      </c>
    </row>
    <row r="279" spans="1:13" x14ac:dyDescent="0.2">
      <c r="A279" s="9">
        <v>43013</v>
      </c>
      <c r="B279">
        <f t="shared" si="16"/>
        <v>5</v>
      </c>
      <c r="C279">
        <f t="shared" si="17"/>
        <v>10</v>
      </c>
      <c r="D279">
        <f t="shared" si="18"/>
        <v>2017</v>
      </c>
      <c r="E279" s="11">
        <v>3.1309999999999998</v>
      </c>
      <c r="F279" s="11">
        <v>101.54900000000001</v>
      </c>
      <c r="G279" s="11">
        <v>27.4</v>
      </c>
      <c r="H279" s="1" t="s">
        <v>0</v>
      </c>
      <c r="I279">
        <v>6.1</v>
      </c>
      <c r="J279" t="s">
        <v>6</v>
      </c>
      <c r="K279">
        <v>23.5</v>
      </c>
      <c r="L279">
        <v>27.3</v>
      </c>
      <c r="M279">
        <f t="shared" si="19"/>
        <v>1</v>
      </c>
    </row>
    <row r="280" spans="1:13" x14ac:dyDescent="0.2">
      <c r="A280" s="9">
        <v>43014</v>
      </c>
      <c r="B280">
        <f t="shared" si="16"/>
        <v>6</v>
      </c>
      <c r="C280">
        <f t="shared" si="17"/>
        <v>10</v>
      </c>
      <c r="D280">
        <f t="shared" si="18"/>
        <v>2017</v>
      </c>
      <c r="E280" s="11">
        <v>3.1309999999999998</v>
      </c>
      <c r="F280" s="11">
        <v>101.54900000000001</v>
      </c>
      <c r="G280" s="11">
        <v>27.4</v>
      </c>
      <c r="H280" s="1" t="s">
        <v>0</v>
      </c>
      <c r="I280">
        <v>31.8</v>
      </c>
      <c r="J280" t="s">
        <v>6</v>
      </c>
      <c r="K280" t="s">
        <v>6</v>
      </c>
      <c r="L280">
        <v>27.3</v>
      </c>
      <c r="M280">
        <f t="shared" si="19"/>
        <v>1</v>
      </c>
    </row>
    <row r="281" spans="1:13" x14ac:dyDescent="0.2">
      <c r="A281" s="9">
        <v>43015</v>
      </c>
      <c r="B281">
        <f t="shared" si="16"/>
        <v>7</v>
      </c>
      <c r="C281">
        <f t="shared" si="17"/>
        <v>10</v>
      </c>
      <c r="D281">
        <f t="shared" si="18"/>
        <v>2017</v>
      </c>
      <c r="E281" s="11">
        <v>3.1309999999999998</v>
      </c>
      <c r="F281" s="11">
        <v>101.54900000000001</v>
      </c>
      <c r="G281" s="11">
        <v>27.4</v>
      </c>
      <c r="H281" s="1" t="s">
        <v>0</v>
      </c>
      <c r="I281">
        <v>14.2</v>
      </c>
      <c r="J281" t="s">
        <v>6</v>
      </c>
      <c r="K281" t="s">
        <v>6</v>
      </c>
      <c r="L281">
        <v>26.5</v>
      </c>
      <c r="M281">
        <f t="shared" si="19"/>
        <v>1</v>
      </c>
    </row>
    <row r="282" spans="1:13" x14ac:dyDescent="0.2">
      <c r="A282" s="9">
        <v>43016</v>
      </c>
      <c r="B282">
        <f t="shared" si="16"/>
        <v>8</v>
      </c>
      <c r="C282">
        <f t="shared" si="17"/>
        <v>10</v>
      </c>
      <c r="D282">
        <f t="shared" si="18"/>
        <v>2017</v>
      </c>
      <c r="E282" s="11">
        <v>3.1309999999999998</v>
      </c>
      <c r="F282" s="11">
        <v>101.54900000000001</v>
      </c>
      <c r="G282" s="11">
        <v>27.4</v>
      </c>
      <c r="H282" s="1" t="s">
        <v>0</v>
      </c>
      <c r="I282">
        <v>3.3</v>
      </c>
      <c r="J282" t="s">
        <v>6</v>
      </c>
      <c r="K282">
        <v>23.9</v>
      </c>
      <c r="L282">
        <v>27.9</v>
      </c>
      <c r="M282">
        <f t="shared" si="19"/>
        <v>1</v>
      </c>
    </row>
    <row r="283" spans="1:13" x14ac:dyDescent="0.2">
      <c r="A283" s="9">
        <v>43017</v>
      </c>
      <c r="B283">
        <f t="shared" si="16"/>
        <v>9</v>
      </c>
      <c r="C283">
        <f t="shared" si="17"/>
        <v>10</v>
      </c>
      <c r="D283">
        <f t="shared" si="18"/>
        <v>2017</v>
      </c>
      <c r="E283" s="11">
        <v>3.1309999999999998</v>
      </c>
      <c r="F283" s="11">
        <v>101.54900000000001</v>
      </c>
      <c r="G283" s="11">
        <v>27.4</v>
      </c>
      <c r="H283" s="1" t="s">
        <v>0</v>
      </c>
      <c r="I283">
        <v>0</v>
      </c>
      <c r="J283" t="s">
        <v>6</v>
      </c>
      <c r="K283" t="s">
        <v>6</v>
      </c>
      <c r="L283">
        <v>27.9</v>
      </c>
      <c r="M283">
        <f t="shared" si="19"/>
        <v>0</v>
      </c>
    </row>
    <row r="284" spans="1:13" x14ac:dyDescent="0.2">
      <c r="A284" s="9">
        <v>43018</v>
      </c>
      <c r="B284">
        <f t="shared" si="16"/>
        <v>10</v>
      </c>
      <c r="C284">
        <f t="shared" si="17"/>
        <v>10</v>
      </c>
      <c r="D284">
        <f t="shared" si="18"/>
        <v>2017</v>
      </c>
      <c r="E284" s="11">
        <v>3.1309999999999998</v>
      </c>
      <c r="F284" s="11">
        <v>101.54900000000001</v>
      </c>
      <c r="G284" s="11">
        <v>27.4</v>
      </c>
      <c r="H284" s="1" t="s">
        <v>0</v>
      </c>
      <c r="I284">
        <v>3.3</v>
      </c>
      <c r="J284" t="s">
        <v>6</v>
      </c>
      <c r="K284">
        <v>24</v>
      </c>
      <c r="L284">
        <v>27.5</v>
      </c>
      <c r="M284">
        <f t="shared" si="19"/>
        <v>1</v>
      </c>
    </row>
    <row r="285" spans="1:13" x14ac:dyDescent="0.2">
      <c r="A285" s="9">
        <v>43019</v>
      </c>
      <c r="B285">
        <f t="shared" si="16"/>
        <v>11</v>
      </c>
      <c r="C285">
        <f t="shared" si="17"/>
        <v>10</v>
      </c>
      <c r="D285">
        <f t="shared" si="18"/>
        <v>2017</v>
      </c>
      <c r="E285" s="11">
        <v>3.1309999999999998</v>
      </c>
      <c r="F285" s="11">
        <v>101.54900000000001</v>
      </c>
      <c r="G285" s="11">
        <v>27.4</v>
      </c>
      <c r="H285" s="1" t="s">
        <v>0</v>
      </c>
      <c r="I285">
        <v>17.8</v>
      </c>
      <c r="J285" t="s">
        <v>6</v>
      </c>
      <c r="K285">
        <v>24.4</v>
      </c>
      <c r="L285">
        <v>29.2</v>
      </c>
      <c r="M285">
        <f t="shared" si="19"/>
        <v>1</v>
      </c>
    </row>
    <row r="286" spans="1:13" x14ac:dyDescent="0.2">
      <c r="A286" s="9">
        <v>43020</v>
      </c>
      <c r="B286">
        <f t="shared" si="16"/>
        <v>12</v>
      </c>
      <c r="C286">
        <f t="shared" si="17"/>
        <v>10</v>
      </c>
      <c r="D286">
        <f t="shared" si="18"/>
        <v>2017</v>
      </c>
      <c r="E286" s="11">
        <v>3.1309999999999998</v>
      </c>
      <c r="F286" s="11">
        <v>101.54900000000001</v>
      </c>
      <c r="G286" s="11">
        <v>27.4</v>
      </c>
      <c r="H286" s="1" t="s">
        <v>0</v>
      </c>
      <c r="I286">
        <v>0</v>
      </c>
      <c r="J286" t="s">
        <v>6</v>
      </c>
      <c r="K286" t="s">
        <v>6</v>
      </c>
      <c r="L286">
        <v>27.3</v>
      </c>
      <c r="M286">
        <f t="shared" si="19"/>
        <v>0</v>
      </c>
    </row>
    <row r="287" spans="1:13" x14ac:dyDescent="0.2">
      <c r="A287" s="9">
        <v>43021</v>
      </c>
      <c r="B287">
        <f t="shared" si="16"/>
        <v>13</v>
      </c>
      <c r="C287">
        <f t="shared" si="17"/>
        <v>10</v>
      </c>
      <c r="D287">
        <f t="shared" si="18"/>
        <v>2017</v>
      </c>
      <c r="E287" s="11">
        <v>3.1309999999999998</v>
      </c>
      <c r="F287" s="11">
        <v>101.54900000000001</v>
      </c>
      <c r="G287" s="11">
        <v>27.4</v>
      </c>
      <c r="H287" s="1" t="s">
        <v>0</v>
      </c>
      <c r="I287">
        <v>5.8</v>
      </c>
      <c r="J287" t="s">
        <v>6</v>
      </c>
      <c r="K287" t="s">
        <v>6</v>
      </c>
      <c r="L287">
        <v>24.7</v>
      </c>
      <c r="M287">
        <f t="shared" si="19"/>
        <v>1</v>
      </c>
    </row>
    <row r="288" spans="1:13" x14ac:dyDescent="0.2">
      <c r="A288" s="9">
        <v>43022</v>
      </c>
      <c r="B288">
        <f t="shared" si="16"/>
        <v>14</v>
      </c>
      <c r="C288">
        <f t="shared" si="17"/>
        <v>10</v>
      </c>
      <c r="D288">
        <f t="shared" si="18"/>
        <v>2017</v>
      </c>
      <c r="E288" s="11">
        <v>3.1309999999999998</v>
      </c>
      <c r="F288" s="11">
        <v>101.54900000000001</v>
      </c>
      <c r="G288" s="11">
        <v>27.4</v>
      </c>
      <c r="H288" s="1" t="s">
        <v>0</v>
      </c>
      <c r="I288">
        <v>8.6</v>
      </c>
      <c r="J288" t="s">
        <v>6</v>
      </c>
      <c r="K288">
        <v>23.3</v>
      </c>
      <c r="L288">
        <v>28.6</v>
      </c>
      <c r="M288">
        <f t="shared" si="19"/>
        <v>1</v>
      </c>
    </row>
    <row r="289" spans="1:13" x14ac:dyDescent="0.2">
      <c r="A289" s="9">
        <v>43023</v>
      </c>
      <c r="B289">
        <f t="shared" si="16"/>
        <v>15</v>
      </c>
      <c r="C289">
        <f t="shared" si="17"/>
        <v>10</v>
      </c>
      <c r="D289">
        <f t="shared" si="18"/>
        <v>2017</v>
      </c>
      <c r="E289" s="11">
        <v>3.1309999999999998</v>
      </c>
      <c r="F289" s="11">
        <v>101.54900000000001</v>
      </c>
      <c r="G289" s="11">
        <v>27.4</v>
      </c>
      <c r="H289" s="1" t="s">
        <v>0</v>
      </c>
      <c r="I289">
        <v>0</v>
      </c>
      <c r="J289" t="s">
        <v>6</v>
      </c>
      <c r="K289">
        <v>23.9</v>
      </c>
      <c r="L289">
        <v>29.1</v>
      </c>
      <c r="M289">
        <f t="shared" si="19"/>
        <v>0</v>
      </c>
    </row>
    <row r="290" spans="1:13" x14ac:dyDescent="0.2">
      <c r="A290" s="9">
        <v>43024</v>
      </c>
      <c r="B290">
        <f t="shared" si="16"/>
        <v>16</v>
      </c>
      <c r="C290">
        <f t="shared" si="17"/>
        <v>10</v>
      </c>
      <c r="D290">
        <f t="shared" si="18"/>
        <v>2017</v>
      </c>
      <c r="E290" s="11">
        <v>3.1309999999999998</v>
      </c>
      <c r="F290" s="11">
        <v>101.54900000000001</v>
      </c>
      <c r="G290" s="11">
        <v>27.4</v>
      </c>
      <c r="H290" s="1" t="s">
        <v>0</v>
      </c>
      <c r="I290">
        <v>0</v>
      </c>
      <c r="J290" t="s">
        <v>6</v>
      </c>
      <c r="K290" t="s">
        <v>6</v>
      </c>
      <c r="L290">
        <v>28.9</v>
      </c>
      <c r="M290">
        <f t="shared" si="19"/>
        <v>0</v>
      </c>
    </row>
    <row r="291" spans="1:13" x14ac:dyDescent="0.2">
      <c r="A291" s="9">
        <v>43025</v>
      </c>
      <c r="B291">
        <f t="shared" si="16"/>
        <v>17</v>
      </c>
      <c r="C291">
        <f t="shared" si="17"/>
        <v>10</v>
      </c>
      <c r="D291">
        <f t="shared" si="18"/>
        <v>2017</v>
      </c>
      <c r="E291" s="11">
        <v>3.1309999999999998</v>
      </c>
      <c r="F291" s="11">
        <v>101.54900000000001</v>
      </c>
      <c r="G291" s="11">
        <v>27.4</v>
      </c>
      <c r="H291" s="1" t="s">
        <v>0</v>
      </c>
      <c r="I291">
        <v>0</v>
      </c>
      <c r="J291" t="s">
        <v>6</v>
      </c>
      <c r="K291">
        <v>24.7</v>
      </c>
      <c r="L291">
        <v>29.1</v>
      </c>
      <c r="M291">
        <f t="shared" si="19"/>
        <v>0</v>
      </c>
    </row>
    <row r="292" spans="1:13" x14ac:dyDescent="0.2">
      <c r="A292" s="9">
        <v>43026</v>
      </c>
      <c r="B292">
        <f t="shared" si="16"/>
        <v>18</v>
      </c>
      <c r="C292">
        <f t="shared" si="17"/>
        <v>10</v>
      </c>
      <c r="D292">
        <f t="shared" si="18"/>
        <v>2017</v>
      </c>
      <c r="E292" s="11">
        <v>3.1309999999999998</v>
      </c>
      <c r="F292" s="11">
        <v>101.54900000000001</v>
      </c>
      <c r="G292" s="11">
        <v>27.4</v>
      </c>
      <c r="H292" s="1" t="s">
        <v>0</v>
      </c>
      <c r="I292">
        <v>0</v>
      </c>
      <c r="J292" t="s">
        <v>6</v>
      </c>
      <c r="K292">
        <v>24.5</v>
      </c>
      <c r="L292">
        <v>29.6</v>
      </c>
      <c r="M292">
        <f t="shared" si="19"/>
        <v>0</v>
      </c>
    </row>
    <row r="293" spans="1:13" x14ac:dyDescent="0.2">
      <c r="A293" s="9">
        <v>43027</v>
      </c>
      <c r="B293">
        <f t="shared" si="16"/>
        <v>19</v>
      </c>
      <c r="C293">
        <f t="shared" si="17"/>
        <v>10</v>
      </c>
      <c r="D293">
        <f t="shared" si="18"/>
        <v>2017</v>
      </c>
      <c r="E293" s="11">
        <v>3.1309999999999998</v>
      </c>
      <c r="F293" s="11">
        <v>101.54900000000001</v>
      </c>
      <c r="G293" s="11">
        <v>27.4</v>
      </c>
      <c r="H293" s="1" t="s">
        <v>0</v>
      </c>
      <c r="I293">
        <v>0</v>
      </c>
      <c r="J293" t="s">
        <v>6</v>
      </c>
      <c r="K293">
        <v>25.1</v>
      </c>
      <c r="L293">
        <v>29.9</v>
      </c>
      <c r="M293">
        <f t="shared" si="19"/>
        <v>0</v>
      </c>
    </row>
    <row r="294" spans="1:13" x14ac:dyDescent="0.2">
      <c r="A294" s="9">
        <v>43028</v>
      </c>
      <c r="B294">
        <f t="shared" si="16"/>
        <v>20</v>
      </c>
      <c r="C294">
        <f t="shared" si="17"/>
        <v>10</v>
      </c>
      <c r="D294">
        <f t="shared" si="18"/>
        <v>2017</v>
      </c>
      <c r="E294" s="11">
        <v>3.1309999999999998</v>
      </c>
      <c r="F294" s="11">
        <v>101.54900000000001</v>
      </c>
      <c r="G294" s="11">
        <v>27.4</v>
      </c>
      <c r="H294" s="1" t="s">
        <v>0</v>
      </c>
      <c r="I294">
        <v>0</v>
      </c>
      <c r="J294" t="s">
        <v>6</v>
      </c>
      <c r="K294">
        <v>25.8</v>
      </c>
      <c r="L294">
        <v>30.2</v>
      </c>
      <c r="M294">
        <f t="shared" si="19"/>
        <v>0</v>
      </c>
    </row>
    <row r="295" spans="1:13" x14ac:dyDescent="0.2">
      <c r="A295" s="9">
        <v>43029</v>
      </c>
      <c r="B295">
        <f t="shared" si="16"/>
        <v>21</v>
      </c>
      <c r="C295">
        <f t="shared" si="17"/>
        <v>10</v>
      </c>
      <c r="D295">
        <f t="shared" si="18"/>
        <v>2017</v>
      </c>
      <c r="E295" s="11">
        <v>3.1309999999999998</v>
      </c>
      <c r="F295" s="11">
        <v>101.54900000000001</v>
      </c>
      <c r="G295" s="11">
        <v>27.4</v>
      </c>
      <c r="H295" s="1" t="s">
        <v>0</v>
      </c>
      <c r="I295">
        <v>0</v>
      </c>
      <c r="J295" t="s">
        <v>6</v>
      </c>
      <c r="K295" t="s">
        <v>6</v>
      </c>
      <c r="L295">
        <v>30.3</v>
      </c>
      <c r="M295">
        <f t="shared" si="19"/>
        <v>0</v>
      </c>
    </row>
    <row r="296" spans="1:13" x14ac:dyDescent="0.2">
      <c r="A296" s="9">
        <v>43030</v>
      </c>
      <c r="B296">
        <f t="shared" si="16"/>
        <v>22</v>
      </c>
      <c r="C296">
        <f t="shared" si="17"/>
        <v>10</v>
      </c>
      <c r="D296">
        <f t="shared" si="18"/>
        <v>2017</v>
      </c>
      <c r="E296" s="11">
        <v>3.1309999999999998</v>
      </c>
      <c r="F296" s="11">
        <v>101.54900000000001</v>
      </c>
      <c r="G296" s="11">
        <v>27.4</v>
      </c>
      <c r="H296" s="1" t="s">
        <v>0</v>
      </c>
      <c r="I296">
        <v>0</v>
      </c>
      <c r="J296" t="s">
        <v>6</v>
      </c>
      <c r="K296" t="s">
        <v>6</v>
      </c>
      <c r="L296">
        <v>29.9</v>
      </c>
      <c r="M296">
        <f t="shared" si="19"/>
        <v>0</v>
      </c>
    </row>
    <row r="297" spans="1:13" x14ac:dyDescent="0.2">
      <c r="A297" s="9">
        <v>43031</v>
      </c>
      <c r="B297">
        <f t="shared" si="16"/>
        <v>23</v>
      </c>
      <c r="C297">
        <f t="shared" si="17"/>
        <v>10</v>
      </c>
      <c r="D297">
        <f t="shared" si="18"/>
        <v>2017</v>
      </c>
      <c r="E297" s="11">
        <v>3.1309999999999998</v>
      </c>
      <c r="F297" s="11">
        <v>101.54900000000001</v>
      </c>
      <c r="G297" s="11">
        <v>27.4</v>
      </c>
      <c r="H297" s="1" t="s">
        <v>0</v>
      </c>
      <c r="I297">
        <v>0</v>
      </c>
      <c r="J297" t="s">
        <v>6</v>
      </c>
      <c r="K297">
        <v>25.8</v>
      </c>
      <c r="L297">
        <v>30.2</v>
      </c>
      <c r="M297">
        <f t="shared" si="19"/>
        <v>0</v>
      </c>
    </row>
    <row r="298" spans="1:13" x14ac:dyDescent="0.2">
      <c r="A298" s="9">
        <v>43032</v>
      </c>
      <c r="B298">
        <f t="shared" si="16"/>
        <v>24</v>
      </c>
      <c r="C298">
        <f t="shared" si="17"/>
        <v>10</v>
      </c>
      <c r="D298">
        <f t="shared" si="18"/>
        <v>2017</v>
      </c>
      <c r="E298" s="11">
        <v>3.1309999999999998</v>
      </c>
      <c r="F298" s="11">
        <v>101.54900000000001</v>
      </c>
      <c r="G298" s="11">
        <v>27.4</v>
      </c>
      <c r="H298" s="1" t="s">
        <v>0</v>
      </c>
      <c r="I298">
        <v>0</v>
      </c>
      <c r="J298" t="s">
        <v>6</v>
      </c>
      <c r="K298" t="s">
        <v>6</v>
      </c>
      <c r="L298">
        <v>28.3</v>
      </c>
      <c r="M298">
        <f t="shared" si="19"/>
        <v>0</v>
      </c>
    </row>
    <row r="299" spans="1:13" x14ac:dyDescent="0.2">
      <c r="A299" s="9">
        <v>43033</v>
      </c>
      <c r="B299">
        <f t="shared" si="16"/>
        <v>25</v>
      </c>
      <c r="C299">
        <f t="shared" si="17"/>
        <v>10</v>
      </c>
      <c r="D299">
        <f t="shared" si="18"/>
        <v>2017</v>
      </c>
      <c r="E299" s="11">
        <v>3.1309999999999998</v>
      </c>
      <c r="F299" s="11">
        <v>101.54900000000001</v>
      </c>
      <c r="G299" s="11">
        <v>27.4</v>
      </c>
      <c r="H299" s="1" t="s">
        <v>0</v>
      </c>
      <c r="I299" t="s">
        <v>6</v>
      </c>
      <c r="J299" t="s">
        <v>6</v>
      </c>
      <c r="K299" t="s">
        <v>6</v>
      </c>
      <c r="L299">
        <v>28.7</v>
      </c>
      <c r="M299" t="str">
        <f t="shared" si="19"/>
        <v/>
      </c>
    </row>
    <row r="300" spans="1:13" x14ac:dyDescent="0.2">
      <c r="A300" s="9">
        <v>43034</v>
      </c>
      <c r="B300">
        <f t="shared" si="16"/>
        <v>26</v>
      </c>
      <c r="C300">
        <f t="shared" si="17"/>
        <v>10</v>
      </c>
      <c r="D300">
        <f t="shared" si="18"/>
        <v>2017</v>
      </c>
      <c r="E300" s="11">
        <v>3.1309999999999998</v>
      </c>
      <c r="F300" s="11">
        <v>101.54900000000001</v>
      </c>
      <c r="G300" s="11">
        <v>27.4</v>
      </c>
      <c r="H300" s="1" t="s">
        <v>0</v>
      </c>
      <c r="I300">
        <v>0.3</v>
      </c>
      <c r="J300" t="s">
        <v>6</v>
      </c>
      <c r="K300" t="s">
        <v>6</v>
      </c>
      <c r="L300">
        <v>28.1</v>
      </c>
      <c r="M300">
        <f t="shared" si="19"/>
        <v>1</v>
      </c>
    </row>
    <row r="301" spans="1:13" x14ac:dyDescent="0.2">
      <c r="A301" s="9">
        <v>43035</v>
      </c>
      <c r="B301">
        <f t="shared" si="16"/>
        <v>27</v>
      </c>
      <c r="C301">
        <f t="shared" si="17"/>
        <v>10</v>
      </c>
      <c r="D301">
        <f t="shared" si="18"/>
        <v>2017</v>
      </c>
      <c r="E301" s="11">
        <v>3.1309999999999998</v>
      </c>
      <c r="F301" s="11">
        <v>101.54900000000001</v>
      </c>
      <c r="G301" s="11">
        <v>27.4</v>
      </c>
      <c r="H301" s="1" t="s">
        <v>0</v>
      </c>
      <c r="I301" t="s">
        <v>6</v>
      </c>
      <c r="J301" t="s">
        <v>6</v>
      </c>
      <c r="K301" t="s">
        <v>6</v>
      </c>
      <c r="L301">
        <v>25.6</v>
      </c>
      <c r="M301" t="str">
        <f t="shared" si="19"/>
        <v/>
      </c>
    </row>
    <row r="302" spans="1:13" x14ac:dyDescent="0.2">
      <c r="A302" s="9">
        <v>43036</v>
      </c>
      <c r="B302">
        <f t="shared" si="16"/>
        <v>28</v>
      </c>
      <c r="C302">
        <f t="shared" si="17"/>
        <v>10</v>
      </c>
      <c r="D302">
        <f t="shared" si="18"/>
        <v>2017</v>
      </c>
      <c r="E302" s="11">
        <v>3.1309999999999998</v>
      </c>
      <c r="F302" s="11">
        <v>101.54900000000001</v>
      </c>
      <c r="G302" s="11">
        <v>27.4</v>
      </c>
      <c r="H302" s="1" t="s">
        <v>0</v>
      </c>
      <c r="I302" t="s">
        <v>6</v>
      </c>
      <c r="J302" t="s">
        <v>6</v>
      </c>
      <c r="K302">
        <v>23.9</v>
      </c>
      <c r="L302">
        <v>28.8</v>
      </c>
      <c r="M302" t="str">
        <f t="shared" si="19"/>
        <v/>
      </c>
    </row>
    <row r="303" spans="1:13" x14ac:dyDescent="0.2">
      <c r="A303" s="9">
        <v>43037</v>
      </c>
      <c r="B303">
        <f t="shared" si="16"/>
        <v>29</v>
      </c>
      <c r="C303">
        <f t="shared" si="17"/>
        <v>10</v>
      </c>
      <c r="D303">
        <f t="shared" si="18"/>
        <v>2017</v>
      </c>
      <c r="E303" s="11">
        <v>3.1309999999999998</v>
      </c>
      <c r="F303" s="11">
        <v>101.54900000000001</v>
      </c>
      <c r="G303" s="11">
        <v>27.4</v>
      </c>
      <c r="H303" s="1" t="s">
        <v>0</v>
      </c>
      <c r="I303">
        <v>0</v>
      </c>
      <c r="J303" t="s">
        <v>6</v>
      </c>
      <c r="K303">
        <v>24.8</v>
      </c>
      <c r="L303">
        <v>27.6</v>
      </c>
      <c r="M303">
        <f t="shared" si="19"/>
        <v>0</v>
      </c>
    </row>
    <row r="304" spans="1:13" x14ac:dyDescent="0.2">
      <c r="A304" s="9">
        <v>43038</v>
      </c>
      <c r="B304">
        <f t="shared" si="16"/>
        <v>30</v>
      </c>
      <c r="C304">
        <f t="shared" si="17"/>
        <v>10</v>
      </c>
      <c r="D304">
        <f t="shared" si="18"/>
        <v>2017</v>
      </c>
      <c r="E304" s="11">
        <v>3.1309999999999998</v>
      </c>
      <c r="F304" s="11">
        <v>101.54900000000001</v>
      </c>
      <c r="G304" s="11">
        <v>27.4</v>
      </c>
      <c r="H304" s="1" t="s">
        <v>0</v>
      </c>
      <c r="I304">
        <v>0</v>
      </c>
      <c r="J304" t="s">
        <v>6</v>
      </c>
      <c r="K304" t="s">
        <v>6</v>
      </c>
      <c r="L304">
        <v>26.1</v>
      </c>
      <c r="M304">
        <f t="shared" si="19"/>
        <v>0</v>
      </c>
    </row>
    <row r="305" spans="1:13" x14ac:dyDescent="0.2">
      <c r="A305" s="9">
        <v>43039</v>
      </c>
      <c r="B305">
        <f t="shared" si="16"/>
        <v>31</v>
      </c>
      <c r="C305">
        <f t="shared" si="17"/>
        <v>10</v>
      </c>
      <c r="D305">
        <f t="shared" si="18"/>
        <v>2017</v>
      </c>
      <c r="E305" s="11">
        <v>3.1309999999999998</v>
      </c>
      <c r="F305" s="11">
        <v>101.54900000000001</v>
      </c>
      <c r="G305" s="11">
        <v>27.4</v>
      </c>
      <c r="H305" s="1" t="s">
        <v>0</v>
      </c>
      <c r="I305">
        <v>68.099999999999994</v>
      </c>
      <c r="J305" t="s">
        <v>6</v>
      </c>
      <c r="K305">
        <v>23.3</v>
      </c>
      <c r="L305">
        <v>27.3</v>
      </c>
      <c r="M305">
        <f t="shared" si="19"/>
        <v>1</v>
      </c>
    </row>
    <row r="306" spans="1:13" x14ac:dyDescent="0.2">
      <c r="A306" s="9">
        <v>43040</v>
      </c>
      <c r="B306">
        <f t="shared" si="16"/>
        <v>1</v>
      </c>
      <c r="C306">
        <f t="shared" si="17"/>
        <v>11</v>
      </c>
      <c r="D306">
        <f t="shared" si="18"/>
        <v>2017</v>
      </c>
      <c r="E306" s="11">
        <v>3.1309999999999998</v>
      </c>
      <c r="F306" s="11">
        <v>101.54900000000001</v>
      </c>
      <c r="G306" s="11">
        <v>27.4</v>
      </c>
      <c r="H306" s="1" t="s">
        <v>0</v>
      </c>
      <c r="I306">
        <v>1</v>
      </c>
      <c r="J306" t="s">
        <v>6</v>
      </c>
      <c r="K306">
        <v>24.1</v>
      </c>
      <c r="L306">
        <v>27.8</v>
      </c>
      <c r="M306">
        <f t="shared" si="19"/>
        <v>1</v>
      </c>
    </row>
    <row r="307" spans="1:13" x14ac:dyDescent="0.2">
      <c r="A307" s="9">
        <v>43041</v>
      </c>
      <c r="B307">
        <f t="shared" si="16"/>
        <v>2</v>
      </c>
      <c r="C307">
        <f t="shared" si="17"/>
        <v>11</v>
      </c>
      <c r="D307">
        <f t="shared" si="18"/>
        <v>2017</v>
      </c>
      <c r="E307" s="11">
        <v>3.1309999999999998</v>
      </c>
      <c r="F307" s="11">
        <v>101.54900000000001</v>
      </c>
      <c r="G307" s="11">
        <v>27.4</v>
      </c>
      <c r="H307" s="1" t="s">
        <v>0</v>
      </c>
      <c r="I307">
        <v>0</v>
      </c>
      <c r="J307" t="s">
        <v>6</v>
      </c>
      <c r="K307">
        <v>25</v>
      </c>
      <c r="L307">
        <v>27.8</v>
      </c>
      <c r="M307">
        <f t="shared" si="19"/>
        <v>0</v>
      </c>
    </row>
    <row r="308" spans="1:13" x14ac:dyDescent="0.2">
      <c r="A308" s="9">
        <v>43042</v>
      </c>
      <c r="B308">
        <f t="shared" si="16"/>
        <v>3</v>
      </c>
      <c r="C308">
        <f t="shared" si="17"/>
        <v>11</v>
      </c>
      <c r="D308">
        <f t="shared" si="18"/>
        <v>2017</v>
      </c>
      <c r="E308" s="11">
        <v>3.1309999999999998</v>
      </c>
      <c r="F308" s="11">
        <v>101.54900000000001</v>
      </c>
      <c r="G308" s="11">
        <v>27.4</v>
      </c>
      <c r="H308" s="1" t="s">
        <v>0</v>
      </c>
      <c r="I308">
        <v>7.9</v>
      </c>
      <c r="J308" t="s">
        <v>6</v>
      </c>
      <c r="K308" t="s">
        <v>6</v>
      </c>
      <c r="L308">
        <v>25.9</v>
      </c>
      <c r="M308">
        <f t="shared" si="19"/>
        <v>1</v>
      </c>
    </row>
    <row r="309" spans="1:13" x14ac:dyDescent="0.2">
      <c r="A309" s="9">
        <v>43043</v>
      </c>
      <c r="B309">
        <f t="shared" si="16"/>
        <v>4</v>
      </c>
      <c r="C309">
        <f t="shared" si="17"/>
        <v>11</v>
      </c>
      <c r="D309">
        <f t="shared" si="18"/>
        <v>2017</v>
      </c>
      <c r="E309" s="11">
        <v>3.1309999999999998</v>
      </c>
      <c r="F309" s="11">
        <v>101.54900000000001</v>
      </c>
      <c r="G309" s="11">
        <v>27.4</v>
      </c>
      <c r="H309" s="1" t="s">
        <v>0</v>
      </c>
      <c r="I309">
        <v>2</v>
      </c>
      <c r="J309" t="s">
        <v>6</v>
      </c>
      <c r="K309">
        <v>24.2</v>
      </c>
      <c r="L309">
        <v>26.6</v>
      </c>
      <c r="M309">
        <f t="shared" si="19"/>
        <v>1</v>
      </c>
    </row>
    <row r="310" spans="1:13" x14ac:dyDescent="0.2">
      <c r="A310" s="9">
        <v>43044</v>
      </c>
      <c r="B310">
        <f t="shared" si="16"/>
        <v>5</v>
      </c>
      <c r="C310">
        <f t="shared" si="17"/>
        <v>11</v>
      </c>
      <c r="D310">
        <f t="shared" si="18"/>
        <v>2017</v>
      </c>
      <c r="E310" s="11">
        <v>3.1309999999999998</v>
      </c>
      <c r="F310" s="11">
        <v>101.54900000000001</v>
      </c>
      <c r="G310" s="11">
        <v>27.4</v>
      </c>
      <c r="H310" s="1" t="s">
        <v>0</v>
      </c>
      <c r="I310">
        <v>7.1</v>
      </c>
      <c r="J310" t="s">
        <v>6</v>
      </c>
      <c r="K310">
        <v>24.5</v>
      </c>
      <c r="L310">
        <v>26.3</v>
      </c>
      <c r="M310">
        <f t="shared" si="19"/>
        <v>1</v>
      </c>
    </row>
    <row r="311" spans="1:13" x14ac:dyDescent="0.2">
      <c r="A311" s="9">
        <v>43045</v>
      </c>
      <c r="B311">
        <f t="shared" si="16"/>
        <v>6</v>
      </c>
      <c r="C311">
        <f t="shared" si="17"/>
        <v>11</v>
      </c>
      <c r="D311">
        <f t="shared" si="18"/>
        <v>2017</v>
      </c>
      <c r="E311" s="11">
        <v>3.1309999999999998</v>
      </c>
      <c r="F311" s="11">
        <v>101.54900000000001</v>
      </c>
      <c r="G311" s="11">
        <v>27.4</v>
      </c>
      <c r="H311" s="1" t="s">
        <v>0</v>
      </c>
      <c r="I311">
        <v>4.3</v>
      </c>
      <c r="J311" t="s">
        <v>6</v>
      </c>
      <c r="K311" t="s">
        <v>6</v>
      </c>
      <c r="L311">
        <v>27.9</v>
      </c>
      <c r="M311">
        <f t="shared" si="19"/>
        <v>1</v>
      </c>
    </row>
    <row r="312" spans="1:13" x14ac:dyDescent="0.2">
      <c r="A312" s="9">
        <v>43046</v>
      </c>
      <c r="B312">
        <f t="shared" si="16"/>
        <v>7</v>
      </c>
      <c r="C312">
        <f t="shared" si="17"/>
        <v>11</v>
      </c>
      <c r="D312">
        <f t="shared" si="18"/>
        <v>2017</v>
      </c>
      <c r="E312" s="11">
        <v>3.1309999999999998</v>
      </c>
      <c r="F312" s="11">
        <v>101.54900000000001</v>
      </c>
      <c r="G312" s="11">
        <v>27.4</v>
      </c>
      <c r="H312" s="1" t="s">
        <v>0</v>
      </c>
      <c r="I312">
        <v>70.400000000000006</v>
      </c>
      <c r="J312" t="s">
        <v>6</v>
      </c>
      <c r="K312">
        <v>22.6</v>
      </c>
      <c r="L312">
        <v>26.9</v>
      </c>
      <c r="M312">
        <f t="shared" si="19"/>
        <v>1</v>
      </c>
    </row>
    <row r="313" spans="1:13" x14ac:dyDescent="0.2">
      <c r="A313" s="9">
        <v>43047</v>
      </c>
      <c r="B313">
        <f t="shared" si="16"/>
        <v>8</v>
      </c>
      <c r="C313">
        <f t="shared" si="17"/>
        <v>11</v>
      </c>
      <c r="D313">
        <f t="shared" si="18"/>
        <v>2017</v>
      </c>
      <c r="E313" s="11">
        <v>3.1309999999999998</v>
      </c>
      <c r="F313" s="11">
        <v>101.54900000000001</v>
      </c>
      <c r="G313" s="11">
        <v>27.4</v>
      </c>
      <c r="H313" s="1" t="s">
        <v>0</v>
      </c>
      <c r="I313">
        <v>21.8</v>
      </c>
      <c r="J313" t="s">
        <v>6</v>
      </c>
      <c r="K313">
        <v>23.1</v>
      </c>
      <c r="L313">
        <v>26.7</v>
      </c>
      <c r="M313">
        <f t="shared" si="19"/>
        <v>1</v>
      </c>
    </row>
    <row r="314" spans="1:13" x14ac:dyDescent="0.2">
      <c r="A314" s="9">
        <v>43048</v>
      </c>
      <c r="B314">
        <f t="shared" si="16"/>
        <v>9</v>
      </c>
      <c r="C314">
        <f t="shared" si="17"/>
        <v>11</v>
      </c>
      <c r="D314">
        <f t="shared" si="18"/>
        <v>2017</v>
      </c>
      <c r="E314" s="11">
        <v>3.1309999999999998</v>
      </c>
      <c r="F314" s="11">
        <v>101.54900000000001</v>
      </c>
      <c r="G314" s="11">
        <v>27.4</v>
      </c>
      <c r="H314" s="1" t="s">
        <v>0</v>
      </c>
      <c r="I314">
        <v>0.5</v>
      </c>
      <c r="J314" t="s">
        <v>6</v>
      </c>
      <c r="K314" t="s">
        <v>6</v>
      </c>
      <c r="L314">
        <v>27.1</v>
      </c>
      <c r="M314">
        <f t="shared" si="19"/>
        <v>1</v>
      </c>
    </row>
    <row r="315" spans="1:13" x14ac:dyDescent="0.2">
      <c r="A315" s="9">
        <v>43049</v>
      </c>
      <c r="B315">
        <f t="shared" si="16"/>
        <v>10</v>
      </c>
      <c r="C315">
        <f t="shared" si="17"/>
        <v>11</v>
      </c>
      <c r="D315">
        <f t="shared" si="18"/>
        <v>2017</v>
      </c>
      <c r="E315" s="11">
        <v>3.1309999999999998</v>
      </c>
      <c r="F315" s="11">
        <v>101.54900000000001</v>
      </c>
      <c r="G315" s="11">
        <v>27.4</v>
      </c>
      <c r="H315" s="1" t="s">
        <v>0</v>
      </c>
      <c r="I315">
        <v>10.4</v>
      </c>
      <c r="J315" t="s">
        <v>6</v>
      </c>
      <c r="K315" t="s">
        <v>6</v>
      </c>
      <c r="L315">
        <v>26.7</v>
      </c>
      <c r="M315">
        <f t="shared" si="19"/>
        <v>1</v>
      </c>
    </row>
    <row r="316" spans="1:13" x14ac:dyDescent="0.2">
      <c r="A316" s="9">
        <v>43050</v>
      </c>
      <c r="B316">
        <f t="shared" si="16"/>
        <v>11</v>
      </c>
      <c r="C316">
        <f t="shared" si="17"/>
        <v>11</v>
      </c>
      <c r="D316">
        <f t="shared" si="18"/>
        <v>2017</v>
      </c>
      <c r="E316" s="11">
        <v>3.1309999999999998</v>
      </c>
      <c r="F316" s="11">
        <v>101.54900000000001</v>
      </c>
      <c r="G316" s="11">
        <v>27.4</v>
      </c>
      <c r="H316" s="1" t="s">
        <v>0</v>
      </c>
      <c r="I316">
        <v>7.6</v>
      </c>
      <c r="J316" t="s">
        <v>6</v>
      </c>
      <c r="K316">
        <v>24.2</v>
      </c>
      <c r="L316">
        <v>27.2</v>
      </c>
      <c r="M316">
        <f t="shared" si="19"/>
        <v>1</v>
      </c>
    </row>
    <row r="317" spans="1:13" x14ac:dyDescent="0.2">
      <c r="A317" s="9">
        <v>43051</v>
      </c>
      <c r="B317">
        <f t="shared" si="16"/>
        <v>12</v>
      </c>
      <c r="C317">
        <f t="shared" si="17"/>
        <v>11</v>
      </c>
      <c r="D317">
        <f t="shared" si="18"/>
        <v>2017</v>
      </c>
      <c r="E317" s="11">
        <v>3.1309999999999998</v>
      </c>
      <c r="F317" s="11">
        <v>101.54900000000001</v>
      </c>
      <c r="G317" s="11">
        <v>27.4</v>
      </c>
      <c r="H317" s="1" t="s">
        <v>0</v>
      </c>
      <c r="I317">
        <v>3.6</v>
      </c>
      <c r="J317" t="s">
        <v>6</v>
      </c>
      <c r="K317" t="s">
        <v>6</v>
      </c>
      <c r="L317">
        <v>27.1</v>
      </c>
      <c r="M317">
        <f t="shared" si="19"/>
        <v>1</v>
      </c>
    </row>
    <row r="318" spans="1:13" x14ac:dyDescent="0.2">
      <c r="A318" s="9">
        <v>43052</v>
      </c>
      <c r="B318">
        <f t="shared" si="16"/>
        <v>13</v>
      </c>
      <c r="C318">
        <f t="shared" si="17"/>
        <v>11</v>
      </c>
      <c r="D318">
        <f t="shared" si="18"/>
        <v>2017</v>
      </c>
      <c r="E318" s="11">
        <v>3.1309999999999998</v>
      </c>
      <c r="F318" s="11">
        <v>101.54900000000001</v>
      </c>
      <c r="G318" s="11">
        <v>27.4</v>
      </c>
      <c r="H318" s="1" t="s">
        <v>0</v>
      </c>
      <c r="I318">
        <v>0</v>
      </c>
      <c r="J318" t="s">
        <v>6</v>
      </c>
      <c r="K318">
        <v>24.5</v>
      </c>
      <c r="L318">
        <v>29.1</v>
      </c>
      <c r="M318">
        <f t="shared" si="19"/>
        <v>0</v>
      </c>
    </row>
    <row r="319" spans="1:13" x14ac:dyDescent="0.2">
      <c r="A319" s="9">
        <v>43053</v>
      </c>
      <c r="B319">
        <f t="shared" si="16"/>
        <v>14</v>
      </c>
      <c r="C319">
        <f t="shared" si="17"/>
        <v>11</v>
      </c>
      <c r="D319">
        <f t="shared" si="18"/>
        <v>2017</v>
      </c>
      <c r="E319" s="11">
        <v>3.1309999999999998</v>
      </c>
      <c r="F319" s="11">
        <v>101.54900000000001</v>
      </c>
      <c r="G319" s="11">
        <v>27.4</v>
      </c>
      <c r="H319" s="1" t="s">
        <v>0</v>
      </c>
      <c r="I319">
        <v>1.5</v>
      </c>
      <c r="J319" t="s">
        <v>6</v>
      </c>
      <c r="K319" t="s">
        <v>6</v>
      </c>
      <c r="L319">
        <v>25.9</v>
      </c>
      <c r="M319">
        <f t="shared" si="19"/>
        <v>1</v>
      </c>
    </row>
    <row r="320" spans="1:13" x14ac:dyDescent="0.2">
      <c r="A320" s="9">
        <v>43054</v>
      </c>
      <c r="B320">
        <f t="shared" si="16"/>
        <v>15</v>
      </c>
      <c r="C320">
        <f t="shared" si="17"/>
        <v>11</v>
      </c>
      <c r="D320">
        <f t="shared" si="18"/>
        <v>2017</v>
      </c>
      <c r="E320" s="11">
        <v>3.1309999999999998</v>
      </c>
      <c r="F320" s="11">
        <v>101.54900000000001</v>
      </c>
      <c r="G320" s="11">
        <v>27.4</v>
      </c>
      <c r="H320" s="1" t="s">
        <v>0</v>
      </c>
      <c r="I320">
        <v>0.3</v>
      </c>
      <c r="J320" t="s">
        <v>6</v>
      </c>
      <c r="K320">
        <v>24.4</v>
      </c>
      <c r="L320">
        <v>27.1</v>
      </c>
      <c r="M320">
        <f t="shared" si="19"/>
        <v>1</v>
      </c>
    </row>
    <row r="321" spans="1:13" x14ac:dyDescent="0.2">
      <c r="A321" s="9">
        <v>43055</v>
      </c>
      <c r="B321">
        <f t="shared" si="16"/>
        <v>16</v>
      </c>
      <c r="C321">
        <f t="shared" si="17"/>
        <v>11</v>
      </c>
      <c r="D321">
        <f t="shared" si="18"/>
        <v>2017</v>
      </c>
      <c r="E321" s="11">
        <v>3.1309999999999998</v>
      </c>
      <c r="F321" s="11">
        <v>101.54900000000001</v>
      </c>
      <c r="G321" s="11">
        <v>27.4</v>
      </c>
      <c r="H321" s="1" t="s">
        <v>0</v>
      </c>
      <c r="I321">
        <v>3.3</v>
      </c>
      <c r="J321" t="s">
        <v>6</v>
      </c>
      <c r="K321">
        <v>24.6</v>
      </c>
      <c r="L321">
        <v>27.4</v>
      </c>
      <c r="M321">
        <f t="shared" si="19"/>
        <v>1</v>
      </c>
    </row>
    <row r="322" spans="1:13" x14ac:dyDescent="0.2">
      <c r="A322" s="9">
        <v>43056</v>
      </c>
      <c r="B322">
        <f t="shared" si="16"/>
        <v>17</v>
      </c>
      <c r="C322">
        <f t="shared" si="17"/>
        <v>11</v>
      </c>
      <c r="D322">
        <f t="shared" si="18"/>
        <v>2017</v>
      </c>
      <c r="E322" s="11">
        <v>3.1309999999999998</v>
      </c>
      <c r="F322" s="11">
        <v>101.54900000000001</v>
      </c>
      <c r="G322" s="11">
        <v>27.4</v>
      </c>
      <c r="H322" s="1" t="s">
        <v>0</v>
      </c>
      <c r="I322">
        <v>16.5</v>
      </c>
      <c r="J322" t="s">
        <v>6</v>
      </c>
      <c r="K322">
        <v>24.9</v>
      </c>
      <c r="L322">
        <v>27.4</v>
      </c>
      <c r="M322">
        <f t="shared" si="19"/>
        <v>1</v>
      </c>
    </row>
    <row r="323" spans="1:13" x14ac:dyDescent="0.2">
      <c r="A323" s="9">
        <v>43057</v>
      </c>
      <c r="B323">
        <f t="shared" ref="B323:B386" si="20">DAY(A323)</f>
        <v>18</v>
      </c>
      <c r="C323">
        <f t="shared" ref="C323:C386" si="21">MONTH(A323)</f>
        <v>11</v>
      </c>
      <c r="D323">
        <f t="shared" ref="D323:D386" si="22">YEAR(A323)</f>
        <v>2017</v>
      </c>
      <c r="E323" s="11">
        <v>3.1309999999999998</v>
      </c>
      <c r="F323" s="11">
        <v>101.54900000000001</v>
      </c>
      <c r="G323" s="11">
        <v>27.4</v>
      </c>
      <c r="H323" s="1" t="s">
        <v>0</v>
      </c>
      <c r="I323">
        <v>8.9</v>
      </c>
      <c r="J323" t="s">
        <v>6</v>
      </c>
      <c r="K323">
        <v>24.5</v>
      </c>
      <c r="L323">
        <v>27.2</v>
      </c>
      <c r="M323">
        <f t="shared" ref="M323:M386" si="23">IF(ISNUMBER(I323), IF(I323&gt;0, 1, 0), "")</f>
        <v>1</v>
      </c>
    </row>
    <row r="324" spans="1:13" x14ac:dyDescent="0.2">
      <c r="A324" s="9">
        <v>43058</v>
      </c>
      <c r="B324">
        <f t="shared" si="20"/>
        <v>19</v>
      </c>
      <c r="C324">
        <f t="shared" si="21"/>
        <v>11</v>
      </c>
      <c r="D324">
        <f t="shared" si="22"/>
        <v>2017</v>
      </c>
      <c r="E324" s="11">
        <v>3.1309999999999998</v>
      </c>
      <c r="F324" s="11">
        <v>101.54900000000001</v>
      </c>
      <c r="G324" s="11">
        <v>27.4</v>
      </c>
      <c r="H324" s="1" t="s">
        <v>0</v>
      </c>
      <c r="I324">
        <v>9.4</v>
      </c>
      <c r="J324" t="s">
        <v>6</v>
      </c>
      <c r="K324">
        <v>24.7</v>
      </c>
      <c r="L324">
        <v>28.1</v>
      </c>
      <c r="M324">
        <f t="shared" si="23"/>
        <v>1</v>
      </c>
    </row>
    <row r="325" spans="1:13" x14ac:dyDescent="0.2">
      <c r="A325" s="9">
        <v>43059</v>
      </c>
      <c r="B325">
        <f t="shared" si="20"/>
        <v>20</v>
      </c>
      <c r="C325">
        <f t="shared" si="21"/>
        <v>11</v>
      </c>
      <c r="D325">
        <f t="shared" si="22"/>
        <v>2017</v>
      </c>
      <c r="E325" s="11">
        <v>3.1309999999999998</v>
      </c>
      <c r="F325" s="11">
        <v>101.54900000000001</v>
      </c>
      <c r="G325" s="11">
        <v>27.4</v>
      </c>
      <c r="H325" s="1" t="s">
        <v>0</v>
      </c>
      <c r="I325">
        <v>0</v>
      </c>
      <c r="J325" t="s">
        <v>6</v>
      </c>
      <c r="K325">
        <v>24.9</v>
      </c>
      <c r="L325">
        <v>29.2</v>
      </c>
      <c r="M325">
        <f t="shared" si="23"/>
        <v>0</v>
      </c>
    </row>
    <row r="326" spans="1:13" x14ac:dyDescent="0.2">
      <c r="A326" s="9">
        <v>43060</v>
      </c>
      <c r="B326">
        <f t="shared" si="20"/>
        <v>21</v>
      </c>
      <c r="C326">
        <f t="shared" si="21"/>
        <v>11</v>
      </c>
      <c r="D326">
        <f t="shared" si="22"/>
        <v>2017</v>
      </c>
      <c r="E326" s="11">
        <v>3.1309999999999998</v>
      </c>
      <c r="F326" s="11">
        <v>101.54900000000001</v>
      </c>
      <c r="G326" s="11">
        <v>27.4</v>
      </c>
      <c r="H326" s="1" t="s">
        <v>0</v>
      </c>
      <c r="I326">
        <v>0</v>
      </c>
      <c r="J326" t="s">
        <v>6</v>
      </c>
      <c r="K326" t="s">
        <v>6</v>
      </c>
      <c r="L326">
        <v>27.1</v>
      </c>
      <c r="M326">
        <f t="shared" si="23"/>
        <v>0</v>
      </c>
    </row>
    <row r="327" spans="1:13" x14ac:dyDescent="0.2">
      <c r="A327" s="9">
        <v>43061</v>
      </c>
      <c r="B327">
        <f t="shared" si="20"/>
        <v>22</v>
      </c>
      <c r="C327">
        <f t="shared" si="21"/>
        <v>11</v>
      </c>
      <c r="D327">
        <f t="shared" si="22"/>
        <v>2017</v>
      </c>
      <c r="E327" s="11">
        <v>3.1309999999999998</v>
      </c>
      <c r="F327" s="11">
        <v>101.54900000000001</v>
      </c>
      <c r="G327" s="11">
        <v>27.4</v>
      </c>
      <c r="H327" s="1" t="s">
        <v>0</v>
      </c>
      <c r="I327">
        <v>14.2</v>
      </c>
      <c r="J327" t="s">
        <v>6</v>
      </c>
      <c r="K327">
        <v>24.4</v>
      </c>
      <c r="L327">
        <v>27.3</v>
      </c>
      <c r="M327">
        <f t="shared" si="23"/>
        <v>1</v>
      </c>
    </row>
    <row r="328" spans="1:13" x14ac:dyDescent="0.2">
      <c r="A328" s="9">
        <v>43062</v>
      </c>
      <c r="B328">
        <f t="shared" si="20"/>
        <v>23</v>
      </c>
      <c r="C328">
        <f t="shared" si="21"/>
        <v>11</v>
      </c>
      <c r="D328">
        <f t="shared" si="22"/>
        <v>2017</v>
      </c>
      <c r="E328" s="11">
        <v>3.1309999999999998</v>
      </c>
      <c r="F328" s="11">
        <v>101.54900000000001</v>
      </c>
      <c r="G328" s="11">
        <v>27.4</v>
      </c>
      <c r="H328" s="1" t="s">
        <v>0</v>
      </c>
      <c r="I328">
        <v>14</v>
      </c>
      <c r="J328" t="s">
        <v>6</v>
      </c>
      <c r="K328" t="s">
        <v>6</v>
      </c>
      <c r="L328">
        <v>26.1</v>
      </c>
      <c r="M328">
        <f t="shared" si="23"/>
        <v>1</v>
      </c>
    </row>
    <row r="329" spans="1:13" x14ac:dyDescent="0.2">
      <c r="A329" s="9">
        <v>43063</v>
      </c>
      <c r="B329">
        <f t="shared" si="20"/>
        <v>24</v>
      </c>
      <c r="C329">
        <f t="shared" si="21"/>
        <v>11</v>
      </c>
      <c r="D329">
        <f t="shared" si="22"/>
        <v>2017</v>
      </c>
      <c r="E329" s="11">
        <v>3.1309999999999998</v>
      </c>
      <c r="F329" s="11">
        <v>101.54900000000001</v>
      </c>
      <c r="G329" s="11">
        <v>27.4</v>
      </c>
      <c r="H329" s="1" t="s">
        <v>0</v>
      </c>
      <c r="I329">
        <v>34.799999999999997</v>
      </c>
      <c r="J329" t="s">
        <v>6</v>
      </c>
      <c r="K329" t="s">
        <v>6</v>
      </c>
      <c r="L329">
        <v>26.4</v>
      </c>
      <c r="M329">
        <f t="shared" si="23"/>
        <v>1</v>
      </c>
    </row>
    <row r="330" spans="1:13" x14ac:dyDescent="0.2">
      <c r="A330" s="9">
        <v>43064</v>
      </c>
      <c r="B330">
        <f t="shared" si="20"/>
        <v>25</v>
      </c>
      <c r="C330">
        <f t="shared" si="21"/>
        <v>11</v>
      </c>
      <c r="D330">
        <f t="shared" si="22"/>
        <v>2017</v>
      </c>
      <c r="E330" s="11">
        <v>3.1309999999999998</v>
      </c>
      <c r="F330" s="11">
        <v>101.54900000000001</v>
      </c>
      <c r="G330" s="11">
        <v>27.4</v>
      </c>
      <c r="H330" s="1" t="s">
        <v>0</v>
      </c>
      <c r="I330">
        <v>14</v>
      </c>
      <c r="J330" t="s">
        <v>6</v>
      </c>
      <c r="K330">
        <v>24</v>
      </c>
      <c r="L330">
        <v>26.3</v>
      </c>
      <c r="M330">
        <f t="shared" si="23"/>
        <v>1</v>
      </c>
    </row>
    <row r="331" spans="1:13" x14ac:dyDescent="0.2">
      <c r="A331" s="9">
        <v>43065</v>
      </c>
      <c r="B331">
        <f t="shared" si="20"/>
        <v>26</v>
      </c>
      <c r="C331">
        <f t="shared" si="21"/>
        <v>11</v>
      </c>
      <c r="D331">
        <f t="shared" si="22"/>
        <v>2017</v>
      </c>
      <c r="E331" s="11">
        <v>3.1309999999999998</v>
      </c>
      <c r="F331" s="11">
        <v>101.54900000000001</v>
      </c>
      <c r="G331" s="11">
        <v>27.4</v>
      </c>
      <c r="H331" s="1" t="s">
        <v>0</v>
      </c>
      <c r="I331">
        <v>15.5</v>
      </c>
      <c r="J331">
        <v>30.2</v>
      </c>
      <c r="K331">
        <v>24.3</v>
      </c>
      <c r="L331">
        <v>26.6</v>
      </c>
      <c r="M331">
        <f t="shared" si="23"/>
        <v>1</v>
      </c>
    </row>
    <row r="332" spans="1:13" x14ac:dyDescent="0.2">
      <c r="A332" s="9">
        <v>43066</v>
      </c>
      <c r="B332">
        <f t="shared" si="20"/>
        <v>27</v>
      </c>
      <c r="C332">
        <f t="shared" si="21"/>
        <v>11</v>
      </c>
      <c r="D332">
        <f t="shared" si="22"/>
        <v>2017</v>
      </c>
      <c r="E332" s="11">
        <v>3.1309999999999998</v>
      </c>
      <c r="F332" s="11">
        <v>101.54900000000001</v>
      </c>
      <c r="G332" s="11">
        <v>27.4</v>
      </c>
      <c r="H332" s="1" t="s">
        <v>0</v>
      </c>
      <c r="I332">
        <v>5.3</v>
      </c>
      <c r="J332" t="s">
        <v>6</v>
      </c>
      <c r="K332">
        <v>24.6</v>
      </c>
      <c r="L332">
        <v>26.4</v>
      </c>
      <c r="M332">
        <f t="shared" si="23"/>
        <v>1</v>
      </c>
    </row>
    <row r="333" spans="1:13" x14ac:dyDescent="0.2">
      <c r="A333" s="9">
        <v>43067</v>
      </c>
      <c r="B333">
        <f t="shared" si="20"/>
        <v>28</v>
      </c>
      <c r="C333">
        <f t="shared" si="21"/>
        <v>11</v>
      </c>
      <c r="D333">
        <f t="shared" si="22"/>
        <v>2017</v>
      </c>
      <c r="E333" s="11">
        <v>3.1309999999999998</v>
      </c>
      <c r="F333" s="11">
        <v>101.54900000000001</v>
      </c>
      <c r="G333" s="11">
        <v>27.4</v>
      </c>
      <c r="H333" s="1" t="s">
        <v>0</v>
      </c>
      <c r="I333">
        <v>43.7</v>
      </c>
      <c r="J333" t="s">
        <v>6</v>
      </c>
      <c r="K333" t="s">
        <v>6</v>
      </c>
      <c r="L333">
        <v>26.1</v>
      </c>
      <c r="M333">
        <f t="shared" si="23"/>
        <v>1</v>
      </c>
    </row>
    <row r="334" spans="1:13" x14ac:dyDescent="0.2">
      <c r="A334" s="9">
        <v>43068</v>
      </c>
      <c r="B334">
        <f t="shared" si="20"/>
        <v>29</v>
      </c>
      <c r="C334">
        <f t="shared" si="21"/>
        <v>11</v>
      </c>
      <c r="D334">
        <f t="shared" si="22"/>
        <v>2017</v>
      </c>
      <c r="E334" s="11">
        <v>3.1309999999999998</v>
      </c>
      <c r="F334" s="11">
        <v>101.54900000000001</v>
      </c>
      <c r="G334" s="11">
        <v>27.4</v>
      </c>
      <c r="H334" s="1" t="s">
        <v>0</v>
      </c>
      <c r="I334">
        <v>9.4</v>
      </c>
      <c r="J334" t="s">
        <v>6</v>
      </c>
      <c r="K334" t="s">
        <v>6</v>
      </c>
      <c r="L334">
        <v>25.6</v>
      </c>
      <c r="M334">
        <f t="shared" si="23"/>
        <v>1</v>
      </c>
    </row>
    <row r="335" spans="1:13" x14ac:dyDescent="0.2">
      <c r="A335" s="9">
        <v>43069</v>
      </c>
      <c r="B335">
        <f t="shared" si="20"/>
        <v>30</v>
      </c>
      <c r="C335">
        <f t="shared" si="21"/>
        <v>11</v>
      </c>
      <c r="D335">
        <f t="shared" si="22"/>
        <v>2017</v>
      </c>
      <c r="E335" s="11">
        <v>3.1309999999999998</v>
      </c>
      <c r="F335" s="11">
        <v>101.54900000000001</v>
      </c>
      <c r="G335" s="11">
        <v>27.4</v>
      </c>
      <c r="H335" s="1" t="s">
        <v>0</v>
      </c>
      <c r="I335">
        <v>10.7</v>
      </c>
      <c r="J335" t="s">
        <v>6</v>
      </c>
      <c r="K335">
        <v>23.4</v>
      </c>
      <c r="L335">
        <v>26.1</v>
      </c>
      <c r="M335">
        <f t="shared" si="23"/>
        <v>1</v>
      </c>
    </row>
    <row r="336" spans="1:13" x14ac:dyDescent="0.2">
      <c r="A336" s="9">
        <v>43070</v>
      </c>
      <c r="B336">
        <f t="shared" si="20"/>
        <v>1</v>
      </c>
      <c r="C336">
        <f t="shared" si="21"/>
        <v>12</v>
      </c>
      <c r="D336">
        <f t="shared" si="22"/>
        <v>2017</v>
      </c>
      <c r="E336" s="11">
        <v>3.1309999999999998</v>
      </c>
      <c r="F336" s="11">
        <v>101.54900000000001</v>
      </c>
      <c r="G336" s="11">
        <v>27.4</v>
      </c>
      <c r="H336" s="1" t="s">
        <v>0</v>
      </c>
      <c r="I336">
        <v>2.2999999999999998</v>
      </c>
      <c r="J336" t="s">
        <v>6</v>
      </c>
      <c r="K336">
        <v>23.7</v>
      </c>
      <c r="L336">
        <v>28.2</v>
      </c>
      <c r="M336">
        <f t="shared" si="23"/>
        <v>1</v>
      </c>
    </row>
    <row r="337" spans="1:13" x14ac:dyDescent="0.2">
      <c r="A337" s="9">
        <v>43071</v>
      </c>
      <c r="B337">
        <f t="shared" si="20"/>
        <v>2</v>
      </c>
      <c r="C337">
        <f t="shared" si="21"/>
        <v>12</v>
      </c>
      <c r="D337">
        <f t="shared" si="22"/>
        <v>2017</v>
      </c>
      <c r="E337" s="11">
        <v>3.1309999999999998</v>
      </c>
      <c r="F337" s="11">
        <v>101.54900000000001</v>
      </c>
      <c r="G337" s="11">
        <v>27.4</v>
      </c>
      <c r="H337" s="1" t="s">
        <v>0</v>
      </c>
      <c r="I337">
        <v>0</v>
      </c>
      <c r="J337" t="s">
        <v>6</v>
      </c>
      <c r="K337">
        <v>24.2</v>
      </c>
      <c r="L337">
        <v>29</v>
      </c>
      <c r="M337">
        <f t="shared" si="23"/>
        <v>0</v>
      </c>
    </row>
    <row r="338" spans="1:13" x14ac:dyDescent="0.2">
      <c r="A338" s="9">
        <v>43072</v>
      </c>
      <c r="B338">
        <f t="shared" si="20"/>
        <v>3</v>
      </c>
      <c r="C338">
        <f t="shared" si="21"/>
        <v>12</v>
      </c>
      <c r="D338">
        <f t="shared" si="22"/>
        <v>2017</v>
      </c>
      <c r="E338" s="11">
        <v>3.1309999999999998</v>
      </c>
      <c r="F338" s="11">
        <v>101.54900000000001</v>
      </c>
      <c r="G338" s="11">
        <v>27.4</v>
      </c>
      <c r="H338" s="1" t="s">
        <v>0</v>
      </c>
      <c r="I338">
        <v>0</v>
      </c>
      <c r="J338" t="s">
        <v>6</v>
      </c>
      <c r="K338" t="s">
        <v>6</v>
      </c>
      <c r="L338">
        <v>28.9</v>
      </c>
      <c r="M338">
        <f t="shared" si="23"/>
        <v>0</v>
      </c>
    </row>
    <row r="339" spans="1:13" x14ac:dyDescent="0.2">
      <c r="A339" s="9">
        <v>43073</v>
      </c>
      <c r="B339">
        <f t="shared" si="20"/>
        <v>4</v>
      </c>
      <c r="C339">
        <f t="shared" si="21"/>
        <v>12</v>
      </c>
      <c r="D339">
        <f t="shared" si="22"/>
        <v>2017</v>
      </c>
      <c r="E339" s="11">
        <v>3.1309999999999998</v>
      </c>
      <c r="F339" s="11">
        <v>101.54900000000001</v>
      </c>
      <c r="G339" s="11">
        <v>27.4</v>
      </c>
      <c r="H339" s="1" t="s">
        <v>0</v>
      </c>
      <c r="I339">
        <v>6.9</v>
      </c>
      <c r="J339" t="s">
        <v>6</v>
      </c>
      <c r="K339" t="s">
        <v>6</v>
      </c>
      <c r="L339">
        <v>28.6</v>
      </c>
      <c r="M339">
        <f t="shared" si="23"/>
        <v>1</v>
      </c>
    </row>
    <row r="340" spans="1:13" x14ac:dyDescent="0.2">
      <c r="A340" s="9">
        <v>43074</v>
      </c>
      <c r="B340">
        <f t="shared" si="20"/>
        <v>5</v>
      </c>
      <c r="C340">
        <f t="shared" si="21"/>
        <v>12</v>
      </c>
      <c r="D340">
        <f t="shared" si="22"/>
        <v>2017</v>
      </c>
      <c r="E340" s="11">
        <v>3.1309999999999998</v>
      </c>
      <c r="F340" s="11">
        <v>101.54900000000001</v>
      </c>
      <c r="G340" s="11">
        <v>27.4</v>
      </c>
      <c r="H340" s="1" t="s">
        <v>0</v>
      </c>
      <c r="I340">
        <v>0</v>
      </c>
      <c r="J340" t="s">
        <v>6</v>
      </c>
      <c r="K340">
        <v>25.1</v>
      </c>
      <c r="L340">
        <v>29.9</v>
      </c>
      <c r="M340">
        <f t="shared" si="23"/>
        <v>0</v>
      </c>
    </row>
    <row r="341" spans="1:13" x14ac:dyDescent="0.2">
      <c r="A341" s="9">
        <v>43075</v>
      </c>
      <c r="B341">
        <f t="shared" si="20"/>
        <v>6</v>
      </c>
      <c r="C341">
        <f t="shared" si="21"/>
        <v>12</v>
      </c>
      <c r="D341">
        <f t="shared" si="22"/>
        <v>2017</v>
      </c>
      <c r="E341" s="11">
        <v>3.1309999999999998</v>
      </c>
      <c r="F341" s="11">
        <v>101.54900000000001</v>
      </c>
      <c r="G341" s="11">
        <v>27.4</v>
      </c>
      <c r="H341" s="1" t="s">
        <v>0</v>
      </c>
      <c r="I341">
        <v>0</v>
      </c>
      <c r="J341" t="s">
        <v>6</v>
      </c>
      <c r="K341" t="s">
        <v>6</v>
      </c>
      <c r="L341">
        <v>30.1</v>
      </c>
      <c r="M341">
        <f t="shared" si="23"/>
        <v>0</v>
      </c>
    </row>
    <row r="342" spans="1:13" x14ac:dyDescent="0.2">
      <c r="A342" s="9">
        <v>43076</v>
      </c>
      <c r="B342">
        <f t="shared" si="20"/>
        <v>7</v>
      </c>
      <c r="C342">
        <f t="shared" si="21"/>
        <v>12</v>
      </c>
      <c r="D342">
        <f t="shared" si="22"/>
        <v>2017</v>
      </c>
      <c r="E342" s="11">
        <v>3.1309999999999998</v>
      </c>
      <c r="F342" s="11">
        <v>101.54900000000001</v>
      </c>
      <c r="G342" s="11">
        <v>27.4</v>
      </c>
      <c r="H342" s="1" t="s">
        <v>0</v>
      </c>
      <c r="I342">
        <v>0</v>
      </c>
      <c r="J342" t="s">
        <v>6</v>
      </c>
      <c r="K342" t="s">
        <v>6</v>
      </c>
      <c r="L342">
        <v>27.8</v>
      </c>
      <c r="M342">
        <f t="shared" si="23"/>
        <v>0</v>
      </c>
    </row>
    <row r="343" spans="1:13" x14ac:dyDescent="0.2">
      <c r="A343" s="9">
        <v>43077</v>
      </c>
      <c r="B343">
        <f t="shared" si="20"/>
        <v>8</v>
      </c>
      <c r="C343">
        <f t="shared" si="21"/>
        <v>12</v>
      </c>
      <c r="D343">
        <f t="shared" si="22"/>
        <v>2017</v>
      </c>
      <c r="E343" s="11">
        <v>3.1309999999999998</v>
      </c>
      <c r="F343" s="11">
        <v>101.54900000000001</v>
      </c>
      <c r="G343" s="11">
        <v>27.4</v>
      </c>
      <c r="H343" s="1" t="s">
        <v>0</v>
      </c>
      <c r="I343">
        <v>10.9</v>
      </c>
      <c r="J343" t="s">
        <v>6</v>
      </c>
      <c r="K343">
        <v>23.9</v>
      </c>
      <c r="L343">
        <v>28.1</v>
      </c>
      <c r="M343">
        <f t="shared" si="23"/>
        <v>1</v>
      </c>
    </row>
    <row r="344" spans="1:13" x14ac:dyDescent="0.2">
      <c r="A344" s="9">
        <v>43078</v>
      </c>
      <c r="B344">
        <f t="shared" si="20"/>
        <v>9</v>
      </c>
      <c r="C344">
        <f t="shared" si="21"/>
        <v>12</v>
      </c>
      <c r="D344">
        <f t="shared" si="22"/>
        <v>2017</v>
      </c>
      <c r="E344" s="11">
        <v>3.1309999999999998</v>
      </c>
      <c r="F344" s="11">
        <v>101.54900000000001</v>
      </c>
      <c r="G344" s="11">
        <v>27.4</v>
      </c>
      <c r="H344" s="1" t="s">
        <v>0</v>
      </c>
      <c r="I344">
        <v>0</v>
      </c>
      <c r="J344" t="s">
        <v>6</v>
      </c>
      <c r="K344" t="s">
        <v>6</v>
      </c>
      <c r="L344">
        <v>27.3</v>
      </c>
      <c r="M344">
        <f t="shared" si="23"/>
        <v>0</v>
      </c>
    </row>
    <row r="345" spans="1:13" x14ac:dyDescent="0.2">
      <c r="A345" s="9">
        <v>43079</v>
      </c>
      <c r="B345">
        <f t="shared" si="20"/>
        <v>10</v>
      </c>
      <c r="C345">
        <f t="shared" si="21"/>
        <v>12</v>
      </c>
      <c r="D345">
        <f t="shared" si="22"/>
        <v>2017</v>
      </c>
      <c r="E345" s="11">
        <v>3.1309999999999998</v>
      </c>
      <c r="F345" s="11">
        <v>101.54900000000001</v>
      </c>
      <c r="G345" s="11">
        <v>27.4</v>
      </c>
      <c r="H345" s="1" t="s">
        <v>0</v>
      </c>
      <c r="I345">
        <v>17.5</v>
      </c>
      <c r="J345" t="s">
        <v>6</v>
      </c>
      <c r="K345" t="s">
        <v>6</v>
      </c>
      <c r="L345">
        <v>27.2</v>
      </c>
      <c r="M345">
        <f t="shared" si="23"/>
        <v>1</v>
      </c>
    </row>
    <row r="346" spans="1:13" x14ac:dyDescent="0.2">
      <c r="A346" s="9">
        <v>43080</v>
      </c>
      <c r="B346">
        <f t="shared" si="20"/>
        <v>11</v>
      </c>
      <c r="C346">
        <f t="shared" si="21"/>
        <v>12</v>
      </c>
      <c r="D346">
        <f t="shared" si="22"/>
        <v>2017</v>
      </c>
      <c r="E346" s="11">
        <v>3.1309999999999998</v>
      </c>
      <c r="F346" s="11">
        <v>101.54900000000001</v>
      </c>
      <c r="G346" s="11">
        <v>27.4</v>
      </c>
      <c r="H346" s="1" t="s">
        <v>0</v>
      </c>
      <c r="I346">
        <v>10.199999999999999</v>
      </c>
      <c r="J346" t="s">
        <v>6</v>
      </c>
      <c r="K346" t="s">
        <v>6</v>
      </c>
      <c r="L346">
        <v>26.9</v>
      </c>
      <c r="M346">
        <f t="shared" si="23"/>
        <v>1</v>
      </c>
    </row>
    <row r="347" spans="1:13" x14ac:dyDescent="0.2">
      <c r="A347" s="9">
        <v>43081</v>
      </c>
      <c r="B347">
        <f t="shared" si="20"/>
        <v>12</v>
      </c>
      <c r="C347">
        <f t="shared" si="21"/>
        <v>12</v>
      </c>
      <c r="D347">
        <f t="shared" si="22"/>
        <v>2017</v>
      </c>
      <c r="E347" s="11">
        <v>3.1309999999999998</v>
      </c>
      <c r="F347" s="11">
        <v>101.54900000000001</v>
      </c>
      <c r="G347" s="11">
        <v>27.4</v>
      </c>
      <c r="H347" s="1" t="s">
        <v>0</v>
      </c>
      <c r="I347">
        <v>0</v>
      </c>
      <c r="J347" t="s">
        <v>6</v>
      </c>
      <c r="K347">
        <v>24.3</v>
      </c>
      <c r="L347">
        <v>27.6</v>
      </c>
      <c r="M347">
        <f t="shared" si="23"/>
        <v>0</v>
      </c>
    </row>
    <row r="348" spans="1:13" x14ac:dyDescent="0.2">
      <c r="A348" s="9">
        <v>43082</v>
      </c>
      <c r="B348">
        <f t="shared" si="20"/>
        <v>13</v>
      </c>
      <c r="C348">
        <f t="shared" si="21"/>
        <v>12</v>
      </c>
      <c r="D348">
        <f t="shared" si="22"/>
        <v>2017</v>
      </c>
      <c r="E348" s="11">
        <v>3.1309999999999998</v>
      </c>
      <c r="F348" s="11">
        <v>101.54900000000001</v>
      </c>
      <c r="G348" s="11">
        <v>27.4</v>
      </c>
      <c r="H348" s="1" t="s">
        <v>0</v>
      </c>
      <c r="I348">
        <v>0</v>
      </c>
      <c r="J348" t="s">
        <v>6</v>
      </c>
      <c r="K348">
        <v>24.8</v>
      </c>
      <c r="L348">
        <v>28.6</v>
      </c>
      <c r="M348">
        <f t="shared" si="23"/>
        <v>0</v>
      </c>
    </row>
    <row r="349" spans="1:13" x14ac:dyDescent="0.2">
      <c r="A349" s="9">
        <v>43083</v>
      </c>
      <c r="B349">
        <f t="shared" si="20"/>
        <v>14</v>
      </c>
      <c r="C349">
        <f t="shared" si="21"/>
        <v>12</v>
      </c>
      <c r="D349">
        <f t="shared" si="22"/>
        <v>2017</v>
      </c>
      <c r="E349" s="11">
        <v>3.1309999999999998</v>
      </c>
      <c r="F349" s="11">
        <v>101.54900000000001</v>
      </c>
      <c r="G349" s="11">
        <v>27.4</v>
      </c>
      <c r="H349" s="1" t="s">
        <v>0</v>
      </c>
      <c r="I349">
        <v>2</v>
      </c>
      <c r="J349" t="s">
        <v>6</v>
      </c>
      <c r="K349" t="s">
        <v>6</v>
      </c>
      <c r="L349">
        <v>28.5</v>
      </c>
      <c r="M349">
        <f t="shared" si="23"/>
        <v>1</v>
      </c>
    </row>
    <row r="350" spans="1:13" x14ac:dyDescent="0.2">
      <c r="A350" s="9">
        <v>43084</v>
      </c>
      <c r="B350">
        <f t="shared" si="20"/>
        <v>15</v>
      </c>
      <c r="C350">
        <f t="shared" si="21"/>
        <v>12</v>
      </c>
      <c r="D350">
        <f t="shared" si="22"/>
        <v>2017</v>
      </c>
      <c r="E350" s="11">
        <v>3.1309999999999998</v>
      </c>
      <c r="F350" s="11">
        <v>101.54900000000001</v>
      </c>
      <c r="G350" s="11">
        <v>27.4</v>
      </c>
      <c r="H350" s="1" t="s">
        <v>0</v>
      </c>
      <c r="I350">
        <v>0</v>
      </c>
      <c r="J350" t="s">
        <v>6</v>
      </c>
      <c r="K350">
        <v>25</v>
      </c>
      <c r="L350">
        <v>28.8</v>
      </c>
      <c r="M350">
        <f t="shared" si="23"/>
        <v>0</v>
      </c>
    </row>
    <row r="351" spans="1:13" x14ac:dyDescent="0.2">
      <c r="A351" s="9">
        <v>43085</v>
      </c>
      <c r="B351">
        <f t="shared" si="20"/>
        <v>16</v>
      </c>
      <c r="C351">
        <f t="shared" si="21"/>
        <v>12</v>
      </c>
      <c r="D351">
        <f t="shared" si="22"/>
        <v>2017</v>
      </c>
      <c r="E351" s="11">
        <v>3.1309999999999998</v>
      </c>
      <c r="F351" s="11">
        <v>101.54900000000001</v>
      </c>
      <c r="G351" s="11">
        <v>27.4</v>
      </c>
      <c r="H351" s="1" t="s">
        <v>0</v>
      </c>
      <c r="I351">
        <v>0</v>
      </c>
      <c r="J351" t="s">
        <v>6</v>
      </c>
      <c r="K351" t="s">
        <v>6</v>
      </c>
      <c r="L351">
        <v>26.8</v>
      </c>
      <c r="M351">
        <f t="shared" si="23"/>
        <v>0</v>
      </c>
    </row>
    <row r="352" spans="1:13" x14ac:dyDescent="0.2">
      <c r="A352" s="9">
        <v>43086</v>
      </c>
      <c r="B352">
        <f t="shared" si="20"/>
        <v>17</v>
      </c>
      <c r="C352">
        <f t="shared" si="21"/>
        <v>12</v>
      </c>
      <c r="D352">
        <f t="shared" si="22"/>
        <v>2017</v>
      </c>
      <c r="E352" s="11">
        <v>3.1309999999999998</v>
      </c>
      <c r="F352" s="11">
        <v>101.54900000000001</v>
      </c>
      <c r="G352" s="11">
        <v>27.4</v>
      </c>
      <c r="H352" s="1" t="s">
        <v>0</v>
      </c>
      <c r="I352">
        <v>0.5</v>
      </c>
      <c r="J352" t="s">
        <v>6</v>
      </c>
      <c r="K352">
        <v>23.9</v>
      </c>
      <c r="L352">
        <v>27.9</v>
      </c>
      <c r="M352">
        <f t="shared" si="23"/>
        <v>1</v>
      </c>
    </row>
    <row r="353" spans="1:13" x14ac:dyDescent="0.2">
      <c r="A353" s="9">
        <v>43087</v>
      </c>
      <c r="B353">
        <f t="shared" si="20"/>
        <v>18</v>
      </c>
      <c r="C353">
        <f t="shared" si="21"/>
        <v>12</v>
      </c>
      <c r="D353">
        <f t="shared" si="22"/>
        <v>2017</v>
      </c>
      <c r="E353" s="11">
        <v>3.1309999999999998</v>
      </c>
      <c r="F353" s="11">
        <v>101.54900000000001</v>
      </c>
      <c r="G353" s="11">
        <v>27.4</v>
      </c>
      <c r="H353" s="1" t="s">
        <v>0</v>
      </c>
      <c r="I353">
        <v>0</v>
      </c>
      <c r="J353" t="s">
        <v>6</v>
      </c>
      <c r="K353">
        <v>23.9</v>
      </c>
      <c r="L353">
        <v>27.9</v>
      </c>
      <c r="M353">
        <f t="shared" si="23"/>
        <v>0</v>
      </c>
    </row>
    <row r="354" spans="1:13" x14ac:dyDescent="0.2">
      <c r="A354" s="9">
        <v>43088</v>
      </c>
      <c r="B354">
        <f t="shared" si="20"/>
        <v>19</v>
      </c>
      <c r="C354">
        <f t="shared" si="21"/>
        <v>12</v>
      </c>
      <c r="D354">
        <f t="shared" si="22"/>
        <v>2017</v>
      </c>
      <c r="E354" s="11">
        <v>3.1309999999999998</v>
      </c>
      <c r="F354" s="11">
        <v>101.54900000000001</v>
      </c>
      <c r="G354" s="11">
        <v>27.4</v>
      </c>
      <c r="H354" s="1" t="s">
        <v>0</v>
      </c>
      <c r="I354">
        <v>4.3</v>
      </c>
      <c r="J354" t="s">
        <v>6</v>
      </c>
      <c r="K354">
        <v>23.8</v>
      </c>
      <c r="L354">
        <v>27.7</v>
      </c>
      <c r="M354">
        <f t="shared" si="23"/>
        <v>1</v>
      </c>
    </row>
    <row r="355" spans="1:13" x14ac:dyDescent="0.2">
      <c r="A355" s="9">
        <v>43089</v>
      </c>
      <c r="B355">
        <f t="shared" si="20"/>
        <v>20</v>
      </c>
      <c r="C355">
        <f t="shared" si="21"/>
        <v>12</v>
      </c>
      <c r="D355">
        <f t="shared" si="22"/>
        <v>2017</v>
      </c>
      <c r="E355" s="11">
        <v>3.1309999999999998</v>
      </c>
      <c r="F355" s="11">
        <v>101.54900000000001</v>
      </c>
      <c r="G355" s="11">
        <v>27.4</v>
      </c>
      <c r="H355" s="1" t="s">
        <v>0</v>
      </c>
      <c r="I355">
        <v>0.5</v>
      </c>
      <c r="J355" t="s">
        <v>6</v>
      </c>
      <c r="K355">
        <v>24.1</v>
      </c>
      <c r="L355">
        <v>26.9</v>
      </c>
      <c r="M355">
        <f t="shared" si="23"/>
        <v>1</v>
      </c>
    </row>
    <row r="356" spans="1:13" x14ac:dyDescent="0.2">
      <c r="A356" s="9">
        <v>43090</v>
      </c>
      <c r="B356">
        <f t="shared" si="20"/>
        <v>21</v>
      </c>
      <c r="C356">
        <f t="shared" si="21"/>
        <v>12</v>
      </c>
      <c r="D356">
        <f t="shared" si="22"/>
        <v>2017</v>
      </c>
      <c r="E356" s="11">
        <v>3.1309999999999998</v>
      </c>
      <c r="F356" s="11">
        <v>101.54900000000001</v>
      </c>
      <c r="G356" s="11">
        <v>27.4</v>
      </c>
      <c r="H356" s="1" t="s">
        <v>0</v>
      </c>
      <c r="I356">
        <v>0</v>
      </c>
      <c r="J356" t="s">
        <v>6</v>
      </c>
      <c r="K356" t="s">
        <v>6</v>
      </c>
      <c r="L356">
        <v>27.2</v>
      </c>
      <c r="M356">
        <f t="shared" si="23"/>
        <v>0</v>
      </c>
    </row>
    <row r="357" spans="1:13" x14ac:dyDescent="0.2">
      <c r="A357" s="9">
        <v>43091</v>
      </c>
      <c r="B357">
        <f t="shared" si="20"/>
        <v>22</v>
      </c>
      <c r="C357">
        <f t="shared" si="21"/>
        <v>12</v>
      </c>
      <c r="D357">
        <f t="shared" si="22"/>
        <v>2017</v>
      </c>
      <c r="E357" s="11">
        <v>3.1309999999999998</v>
      </c>
      <c r="F357" s="11">
        <v>101.54900000000001</v>
      </c>
      <c r="G357" s="11">
        <v>27.4</v>
      </c>
      <c r="H357" s="1" t="s">
        <v>0</v>
      </c>
      <c r="I357">
        <v>0</v>
      </c>
      <c r="J357" t="s">
        <v>6</v>
      </c>
      <c r="K357">
        <v>24</v>
      </c>
      <c r="L357">
        <v>27.7</v>
      </c>
      <c r="M357">
        <f t="shared" si="23"/>
        <v>0</v>
      </c>
    </row>
    <row r="358" spans="1:13" x14ac:dyDescent="0.2">
      <c r="A358" s="9">
        <v>43092</v>
      </c>
      <c r="B358">
        <f t="shared" si="20"/>
        <v>23</v>
      </c>
      <c r="C358">
        <f t="shared" si="21"/>
        <v>12</v>
      </c>
      <c r="D358">
        <f t="shared" si="22"/>
        <v>2017</v>
      </c>
      <c r="E358" s="11">
        <v>3.1309999999999998</v>
      </c>
      <c r="F358" s="11">
        <v>101.54900000000001</v>
      </c>
      <c r="G358" s="11">
        <v>27.4</v>
      </c>
      <c r="H358" s="1" t="s">
        <v>0</v>
      </c>
      <c r="I358">
        <v>6.1</v>
      </c>
      <c r="J358" t="s">
        <v>6</v>
      </c>
      <c r="K358">
        <v>24.5</v>
      </c>
      <c r="L358">
        <v>26.8</v>
      </c>
      <c r="M358">
        <f t="shared" si="23"/>
        <v>1</v>
      </c>
    </row>
    <row r="359" spans="1:13" x14ac:dyDescent="0.2">
      <c r="A359" s="9">
        <v>43093</v>
      </c>
      <c r="B359">
        <f t="shared" si="20"/>
        <v>24</v>
      </c>
      <c r="C359">
        <f t="shared" si="21"/>
        <v>12</v>
      </c>
      <c r="D359">
        <f t="shared" si="22"/>
        <v>2017</v>
      </c>
      <c r="E359" s="11">
        <v>3.1309999999999998</v>
      </c>
      <c r="F359" s="11">
        <v>101.54900000000001</v>
      </c>
      <c r="G359" s="11">
        <v>27.4</v>
      </c>
      <c r="H359" s="1" t="s">
        <v>0</v>
      </c>
      <c r="I359">
        <v>0</v>
      </c>
      <c r="J359" t="s">
        <v>6</v>
      </c>
      <c r="K359" t="s">
        <v>6</v>
      </c>
      <c r="L359">
        <v>26.7</v>
      </c>
      <c r="M359">
        <f t="shared" si="23"/>
        <v>0</v>
      </c>
    </row>
    <row r="360" spans="1:13" x14ac:dyDescent="0.2">
      <c r="A360" s="9">
        <v>43094</v>
      </c>
      <c r="B360">
        <f t="shared" si="20"/>
        <v>25</v>
      </c>
      <c r="C360">
        <f t="shared" si="21"/>
        <v>12</v>
      </c>
      <c r="D360">
        <f t="shared" si="22"/>
        <v>2017</v>
      </c>
      <c r="E360" s="11">
        <v>3.1309999999999998</v>
      </c>
      <c r="F360" s="11">
        <v>101.54900000000001</v>
      </c>
      <c r="G360" s="11">
        <v>27.4</v>
      </c>
      <c r="H360" s="1" t="s">
        <v>0</v>
      </c>
      <c r="I360">
        <v>9.9</v>
      </c>
      <c r="J360" t="s">
        <v>6</v>
      </c>
      <c r="K360" t="s">
        <v>6</v>
      </c>
      <c r="L360">
        <v>26.8</v>
      </c>
      <c r="M360">
        <f t="shared" si="23"/>
        <v>1</v>
      </c>
    </row>
    <row r="361" spans="1:13" x14ac:dyDescent="0.2">
      <c r="A361" s="9">
        <v>43095</v>
      </c>
      <c r="B361">
        <f t="shared" si="20"/>
        <v>26</v>
      </c>
      <c r="C361">
        <f t="shared" si="21"/>
        <v>12</v>
      </c>
      <c r="D361">
        <f t="shared" si="22"/>
        <v>2017</v>
      </c>
      <c r="E361" s="11">
        <v>3.1309999999999998</v>
      </c>
      <c r="F361" s="11">
        <v>101.54900000000001</v>
      </c>
      <c r="G361" s="11">
        <v>27.4</v>
      </c>
      <c r="H361" s="1" t="s">
        <v>0</v>
      </c>
      <c r="I361">
        <v>5.3</v>
      </c>
      <c r="J361" t="s">
        <v>6</v>
      </c>
      <c r="K361" t="s">
        <v>6</v>
      </c>
      <c r="L361">
        <v>27.4</v>
      </c>
      <c r="M361">
        <f t="shared" si="23"/>
        <v>1</v>
      </c>
    </row>
    <row r="362" spans="1:13" x14ac:dyDescent="0.2">
      <c r="A362" s="9">
        <v>43096</v>
      </c>
      <c r="B362">
        <f t="shared" si="20"/>
        <v>27</v>
      </c>
      <c r="C362">
        <f t="shared" si="21"/>
        <v>12</v>
      </c>
      <c r="D362">
        <f t="shared" si="22"/>
        <v>2017</v>
      </c>
      <c r="E362" s="11">
        <v>3.1309999999999998</v>
      </c>
      <c r="F362" s="11">
        <v>101.54900000000001</v>
      </c>
      <c r="G362" s="11">
        <v>27.4</v>
      </c>
      <c r="H362" s="1" t="s">
        <v>0</v>
      </c>
      <c r="I362">
        <v>0</v>
      </c>
      <c r="J362" t="s">
        <v>6</v>
      </c>
      <c r="K362">
        <v>24.3</v>
      </c>
      <c r="L362">
        <v>27.9</v>
      </c>
      <c r="M362">
        <f t="shared" si="23"/>
        <v>0</v>
      </c>
    </row>
    <row r="363" spans="1:13" x14ac:dyDescent="0.2">
      <c r="A363" s="9">
        <v>43097</v>
      </c>
      <c r="B363">
        <f t="shared" si="20"/>
        <v>28</v>
      </c>
      <c r="C363">
        <f t="shared" si="21"/>
        <v>12</v>
      </c>
      <c r="D363">
        <f t="shared" si="22"/>
        <v>2017</v>
      </c>
      <c r="E363" s="11">
        <v>3.1309999999999998</v>
      </c>
      <c r="F363" s="11">
        <v>101.54900000000001</v>
      </c>
      <c r="G363" s="11">
        <v>27.4</v>
      </c>
      <c r="H363" s="1" t="s">
        <v>0</v>
      </c>
      <c r="I363">
        <v>0</v>
      </c>
      <c r="J363" t="s">
        <v>6</v>
      </c>
      <c r="K363" t="s">
        <v>6</v>
      </c>
      <c r="L363">
        <v>28.3</v>
      </c>
      <c r="M363">
        <f t="shared" si="23"/>
        <v>0</v>
      </c>
    </row>
    <row r="364" spans="1:13" x14ac:dyDescent="0.2">
      <c r="A364" s="9">
        <v>43098</v>
      </c>
      <c r="B364">
        <f t="shared" si="20"/>
        <v>29</v>
      </c>
      <c r="C364">
        <f t="shared" si="21"/>
        <v>12</v>
      </c>
      <c r="D364">
        <f t="shared" si="22"/>
        <v>2017</v>
      </c>
      <c r="E364" s="11">
        <v>3.1309999999999998</v>
      </c>
      <c r="F364" s="11">
        <v>101.54900000000001</v>
      </c>
      <c r="G364" s="11">
        <v>27.4</v>
      </c>
      <c r="H364" s="1" t="s">
        <v>0</v>
      </c>
      <c r="I364">
        <v>2.8</v>
      </c>
      <c r="J364" t="s">
        <v>6</v>
      </c>
      <c r="K364">
        <v>24</v>
      </c>
      <c r="L364">
        <v>26.8</v>
      </c>
      <c r="M364">
        <f t="shared" si="23"/>
        <v>1</v>
      </c>
    </row>
    <row r="365" spans="1:13" x14ac:dyDescent="0.2">
      <c r="A365" s="9">
        <v>43099</v>
      </c>
      <c r="B365">
        <f t="shared" si="20"/>
        <v>30</v>
      </c>
      <c r="C365">
        <f t="shared" si="21"/>
        <v>12</v>
      </c>
      <c r="D365">
        <f t="shared" si="22"/>
        <v>2017</v>
      </c>
      <c r="E365" s="11">
        <v>3.1309999999999998</v>
      </c>
      <c r="F365" s="11">
        <v>101.54900000000001</v>
      </c>
      <c r="G365" s="11">
        <v>27.4</v>
      </c>
      <c r="H365" s="1" t="s">
        <v>0</v>
      </c>
      <c r="I365">
        <v>2.2999999999999998</v>
      </c>
      <c r="J365" t="s">
        <v>6</v>
      </c>
      <c r="K365">
        <v>24</v>
      </c>
      <c r="L365">
        <v>27.4</v>
      </c>
      <c r="M365">
        <f t="shared" si="23"/>
        <v>1</v>
      </c>
    </row>
    <row r="366" spans="1:13" x14ac:dyDescent="0.2">
      <c r="A366" s="9">
        <v>43100</v>
      </c>
      <c r="B366">
        <f t="shared" si="20"/>
        <v>31</v>
      </c>
      <c r="C366">
        <f t="shared" si="21"/>
        <v>12</v>
      </c>
      <c r="D366">
        <f t="shared" si="22"/>
        <v>2017</v>
      </c>
      <c r="E366" s="11">
        <v>3.1309999999999998</v>
      </c>
      <c r="F366" s="11">
        <v>101.54900000000001</v>
      </c>
      <c r="G366" s="11">
        <v>27.4</v>
      </c>
      <c r="H366" s="1" t="s">
        <v>0</v>
      </c>
      <c r="I366">
        <v>1</v>
      </c>
      <c r="J366" t="s">
        <v>6</v>
      </c>
      <c r="K366" t="s">
        <v>6</v>
      </c>
      <c r="L366">
        <v>26.9</v>
      </c>
      <c r="M366">
        <f t="shared" si="23"/>
        <v>1</v>
      </c>
    </row>
    <row r="367" spans="1:13" x14ac:dyDescent="0.2">
      <c r="A367" s="9">
        <v>43101</v>
      </c>
      <c r="B367">
        <f t="shared" si="20"/>
        <v>1</v>
      </c>
      <c r="C367">
        <f t="shared" si="21"/>
        <v>1</v>
      </c>
      <c r="D367">
        <f t="shared" si="22"/>
        <v>2018</v>
      </c>
      <c r="E367" s="11">
        <v>3.1309999999999998</v>
      </c>
      <c r="F367" s="11">
        <v>101.54900000000001</v>
      </c>
      <c r="G367" s="11">
        <v>27.4</v>
      </c>
      <c r="H367" s="1" t="s">
        <v>0</v>
      </c>
      <c r="I367">
        <v>11.7</v>
      </c>
      <c r="J367" t="s">
        <v>6</v>
      </c>
      <c r="K367" t="s">
        <v>6</v>
      </c>
      <c r="L367">
        <v>25.4</v>
      </c>
      <c r="M367">
        <f t="shared" si="23"/>
        <v>1</v>
      </c>
    </row>
    <row r="368" spans="1:13" x14ac:dyDescent="0.2">
      <c r="A368" s="9">
        <v>43102</v>
      </c>
      <c r="B368">
        <f t="shared" si="20"/>
        <v>2</v>
      </c>
      <c r="C368">
        <f t="shared" si="21"/>
        <v>1</v>
      </c>
      <c r="D368">
        <f t="shared" si="22"/>
        <v>2018</v>
      </c>
      <c r="E368" s="11">
        <v>3.1309999999999998</v>
      </c>
      <c r="F368" s="11">
        <v>101.54900000000001</v>
      </c>
      <c r="G368" s="11">
        <v>27.4</v>
      </c>
      <c r="H368" s="1" t="s">
        <v>0</v>
      </c>
      <c r="I368">
        <v>2.2999999999999998</v>
      </c>
      <c r="J368" t="s">
        <v>6</v>
      </c>
      <c r="K368" t="s">
        <v>6</v>
      </c>
      <c r="L368">
        <v>26.4</v>
      </c>
      <c r="M368">
        <f t="shared" si="23"/>
        <v>1</v>
      </c>
    </row>
    <row r="369" spans="1:13" x14ac:dyDescent="0.2">
      <c r="A369" s="9">
        <v>43103</v>
      </c>
      <c r="B369">
        <f t="shared" si="20"/>
        <v>3</v>
      </c>
      <c r="C369">
        <f t="shared" si="21"/>
        <v>1</v>
      </c>
      <c r="D369">
        <f t="shared" si="22"/>
        <v>2018</v>
      </c>
      <c r="E369" s="11">
        <v>3.1309999999999998</v>
      </c>
      <c r="F369" s="11">
        <v>101.54900000000001</v>
      </c>
      <c r="G369" s="11">
        <v>27.4</v>
      </c>
      <c r="H369" s="1" t="s">
        <v>0</v>
      </c>
      <c r="I369">
        <v>0.3</v>
      </c>
      <c r="J369" t="s">
        <v>6</v>
      </c>
      <c r="K369" t="s">
        <v>6</v>
      </c>
      <c r="L369">
        <v>25.7</v>
      </c>
      <c r="M369">
        <f t="shared" si="23"/>
        <v>1</v>
      </c>
    </row>
    <row r="370" spans="1:13" x14ac:dyDescent="0.2">
      <c r="A370" s="9">
        <v>43104</v>
      </c>
      <c r="B370">
        <f t="shared" si="20"/>
        <v>4</v>
      </c>
      <c r="C370">
        <f t="shared" si="21"/>
        <v>1</v>
      </c>
      <c r="D370">
        <f t="shared" si="22"/>
        <v>2018</v>
      </c>
      <c r="E370" s="11">
        <v>3.1309999999999998</v>
      </c>
      <c r="F370" s="11">
        <v>101.54900000000001</v>
      </c>
      <c r="G370" s="11">
        <v>27.4</v>
      </c>
      <c r="H370" s="1" t="s">
        <v>0</v>
      </c>
      <c r="I370">
        <v>58.7</v>
      </c>
      <c r="J370" t="s">
        <v>6</v>
      </c>
      <c r="K370">
        <v>23.7</v>
      </c>
      <c r="L370">
        <v>26.1</v>
      </c>
      <c r="M370">
        <f t="shared" si="23"/>
        <v>1</v>
      </c>
    </row>
    <row r="371" spans="1:13" x14ac:dyDescent="0.2">
      <c r="A371" s="9">
        <v>43105</v>
      </c>
      <c r="B371">
        <f t="shared" si="20"/>
        <v>5</v>
      </c>
      <c r="C371">
        <f t="shared" si="21"/>
        <v>1</v>
      </c>
      <c r="D371">
        <f t="shared" si="22"/>
        <v>2018</v>
      </c>
      <c r="E371" s="11">
        <v>3.1309999999999998</v>
      </c>
      <c r="F371" s="11">
        <v>101.54900000000001</v>
      </c>
      <c r="G371" s="11">
        <v>27.4</v>
      </c>
      <c r="H371" s="1" t="s">
        <v>0</v>
      </c>
      <c r="I371">
        <v>11.7</v>
      </c>
      <c r="J371" t="s">
        <v>6</v>
      </c>
      <c r="K371" t="s">
        <v>6</v>
      </c>
      <c r="L371">
        <v>25.8</v>
      </c>
      <c r="M371">
        <f t="shared" si="23"/>
        <v>1</v>
      </c>
    </row>
    <row r="372" spans="1:13" x14ac:dyDescent="0.2">
      <c r="A372" s="9">
        <v>43106</v>
      </c>
      <c r="B372">
        <f t="shared" si="20"/>
        <v>6</v>
      </c>
      <c r="C372">
        <f t="shared" si="21"/>
        <v>1</v>
      </c>
      <c r="D372">
        <f t="shared" si="22"/>
        <v>2018</v>
      </c>
      <c r="E372" s="11">
        <v>3.1309999999999998</v>
      </c>
      <c r="F372" s="11">
        <v>101.54900000000001</v>
      </c>
      <c r="G372" s="11">
        <v>27.4</v>
      </c>
      <c r="H372" s="1" t="s">
        <v>0</v>
      </c>
      <c r="I372">
        <v>7.1</v>
      </c>
      <c r="J372" t="s">
        <v>6</v>
      </c>
      <c r="K372">
        <v>23.5</v>
      </c>
      <c r="L372">
        <v>27.8</v>
      </c>
      <c r="M372">
        <f t="shared" si="23"/>
        <v>1</v>
      </c>
    </row>
    <row r="373" spans="1:13" x14ac:dyDescent="0.2">
      <c r="A373" s="9">
        <v>43107</v>
      </c>
      <c r="B373">
        <f t="shared" si="20"/>
        <v>7</v>
      </c>
      <c r="C373">
        <f t="shared" si="21"/>
        <v>1</v>
      </c>
      <c r="D373">
        <f t="shared" si="22"/>
        <v>2018</v>
      </c>
      <c r="E373" s="11">
        <v>3.1309999999999998</v>
      </c>
      <c r="F373" s="11">
        <v>101.54900000000001</v>
      </c>
      <c r="G373" s="11">
        <v>27.4</v>
      </c>
      <c r="H373" s="1" t="s">
        <v>0</v>
      </c>
      <c r="I373">
        <v>0</v>
      </c>
      <c r="J373" t="s">
        <v>6</v>
      </c>
      <c r="K373">
        <v>23.6</v>
      </c>
      <c r="L373">
        <v>29.2</v>
      </c>
      <c r="M373">
        <f t="shared" si="23"/>
        <v>0</v>
      </c>
    </row>
    <row r="374" spans="1:13" x14ac:dyDescent="0.2">
      <c r="A374" s="9">
        <v>43108</v>
      </c>
      <c r="B374">
        <f t="shared" si="20"/>
        <v>8</v>
      </c>
      <c r="C374">
        <f t="shared" si="21"/>
        <v>1</v>
      </c>
      <c r="D374">
        <f t="shared" si="22"/>
        <v>2018</v>
      </c>
      <c r="E374" s="11">
        <v>3.1309999999999998</v>
      </c>
      <c r="F374" s="11">
        <v>101.54900000000001</v>
      </c>
      <c r="G374" s="11">
        <v>27.4</v>
      </c>
      <c r="H374" s="1" t="s">
        <v>0</v>
      </c>
      <c r="I374">
        <v>0</v>
      </c>
      <c r="J374" t="s">
        <v>6</v>
      </c>
      <c r="K374">
        <v>24.5</v>
      </c>
      <c r="L374">
        <v>27.9</v>
      </c>
      <c r="M374">
        <f t="shared" si="23"/>
        <v>0</v>
      </c>
    </row>
    <row r="375" spans="1:13" x14ac:dyDescent="0.2">
      <c r="A375" s="9">
        <v>43109</v>
      </c>
      <c r="B375">
        <f t="shared" si="20"/>
        <v>9</v>
      </c>
      <c r="C375">
        <f t="shared" si="21"/>
        <v>1</v>
      </c>
      <c r="D375">
        <f t="shared" si="22"/>
        <v>2018</v>
      </c>
      <c r="E375" s="11">
        <v>3.1309999999999998</v>
      </c>
      <c r="F375" s="11">
        <v>101.54900000000001</v>
      </c>
      <c r="G375" s="11">
        <v>27.4</v>
      </c>
      <c r="H375" s="1" t="s">
        <v>0</v>
      </c>
      <c r="I375">
        <v>20.3</v>
      </c>
      <c r="J375" t="s">
        <v>6</v>
      </c>
      <c r="K375" t="s">
        <v>6</v>
      </c>
      <c r="L375">
        <v>26.1</v>
      </c>
      <c r="M375">
        <f t="shared" si="23"/>
        <v>1</v>
      </c>
    </row>
    <row r="376" spans="1:13" x14ac:dyDescent="0.2">
      <c r="A376" s="9">
        <v>43110</v>
      </c>
      <c r="B376">
        <f t="shared" si="20"/>
        <v>10</v>
      </c>
      <c r="C376">
        <f t="shared" si="21"/>
        <v>1</v>
      </c>
      <c r="D376">
        <f t="shared" si="22"/>
        <v>2018</v>
      </c>
      <c r="E376" s="11">
        <v>3.1309999999999998</v>
      </c>
      <c r="F376" s="11">
        <v>101.54900000000001</v>
      </c>
      <c r="G376" s="11">
        <v>27.4</v>
      </c>
      <c r="H376" s="1" t="s">
        <v>0</v>
      </c>
      <c r="I376">
        <v>26.4</v>
      </c>
      <c r="J376" t="s">
        <v>6</v>
      </c>
      <c r="K376" t="s">
        <v>6</v>
      </c>
      <c r="L376">
        <v>25.6</v>
      </c>
      <c r="M376">
        <f t="shared" si="23"/>
        <v>1</v>
      </c>
    </row>
    <row r="377" spans="1:13" x14ac:dyDescent="0.2">
      <c r="A377" s="9">
        <v>43111</v>
      </c>
      <c r="B377">
        <f t="shared" si="20"/>
        <v>11</v>
      </c>
      <c r="C377">
        <f t="shared" si="21"/>
        <v>1</v>
      </c>
      <c r="D377">
        <f t="shared" si="22"/>
        <v>2018</v>
      </c>
      <c r="E377" s="11">
        <v>3.1309999999999998</v>
      </c>
      <c r="F377" s="11">
        <v>101.54900000000001</v>
      </c>
      <c r="G377" s="11">
        <v>27.4</v>
      </c>
      <c r="H377" s="1" t="s">
        <v>0</v>
      </c>
      <c r="I377">
        <v>18.8</v>
      </c>
      <c r="J377" t="s">
        <v>6</v>
      </c>
      <c r="K377" t="s">
        <v>6</v>
      </c>
      <c r="L377">
        <v>23</v>
      </c>
      <c r="M377">
        <f t="shared" si="23"/>
        <v>1</v>
      </c>
    </row>
    <row r="378" spans="1:13" x14ac:dyDescent="0.2">
      <c r="A378" s="9">
        <v>43112</v>
      </c>
      <c r="B378">
        <f t="shared" si="20"/>
        <v>12</v>
      </c>
      <c r="C378">
        <f t="shared" si="21"/>
        <v>1</v>
      </c>
      <c r="D378">
        <f t="shared" si="22"/>
        <v>2018</v>
      </c>
      <c r="E378" s="11">
        <v>3.1309999999999998</v>
      </c>
      <c r="F378" s="11">
        <v>101.54900000000001</v>
      </c>
      <c r="G378" s="11">
        <v>27.4</v>
      </c>
      <c r="H378" s="1" t="s">
        <v>0</v>
      </c>
      <c r="I378">
        <v>19.3</v>
      </c>
      <c r="J378" t="s">
        <v>6</v>
      </c>
      <c r="K378">
        <v>21.3</v>
      </c>
      <c r="L378">
        <v>23.2</v>
      </c>
      <c r="M378">
        <f t="shared" si="23"/>
        <v>1</v>
      </c>
    </row>
    <row r="379" spans="1:13" x14ac:dyDescent="0.2">
      <c r="A379" s="9">
        <v>43113</v>
      </c>
      <c r="B379">
        <f t="shared" si="20"/>
        <v>13</v>
      </c>
      <c r="C379">
        <f t="shared" si="21"/>
        <v>1</v>
      </c>
      <c r="D379">
        <f t="shared" si="22"/>
        <v>2018</v>
      </c>
      <c r="E379" s="11">
        <v>3.1309999999999998</v>
      </c>
      <c r="F379" s="11">
        <v>101.54900000000001</v>
      </c>
      <c r="G379" s="11">
        <v>27.4</v>
      </c>
      <c r="H379" s="1" t="s">
        <v>0</v>
      </c>
      <c r="I379">
        <v>4.8</v>
      </c>
      <c r="J379" t="s">
        <v>6</v>
      </c>
      <c r="K379">
        <v>21.9</v>
      </c>
      <c r="L379">
        <v>24.3</v>
      </c>
      <c r="M379">
        <f t="shared" si="23"/>
        <v>1</v>
      </c>
    </row>
    <row r="380" spans="1:13" x14ac:dyDescent="0.2">
      <c r="A380" s="9">
        <v>43114</v>
      </c>
      <c r="B380">
        <f t="shared" si="20"/>
        <v>14</v>
      </c>
      <c r="C380">
        <f t="shared" si="21"/>
        <v>1</v>
      </c>
      <c r="D380">
        <f t="shared" si="22"/>
        <v>2018</v>
      </c>
      <c r="E380" s="11">
        <v>3.1309999999999998</v>
      </c>
      <c r="F380" s="11">
        <v>101.54900000000001</v>
      </c>
      <c r="G380" s="11">
        <v>27.4</v>
      </c>
      <c r="H380" s="1" t="s">
        <v>0</v>
      </c>
      <c r="I380">
        <v>0.3</v>
      </c>
      <c r="J380" t="s">
        <v>6</v>
      </c>
      <c r="K380">
        <v>22.4</v>
      </c>
      <c r="L380">
        <v>25.3</v>
      </c>
      <c r="M380">
        <f t="shared" si="23"/>
        <v>1</v>
      </c>
    </row>
    <row r="381" spans="1:13" x14ac:dyDescent="0.2">
      <c r="A381" s="9">
        <v>43115</v>
      </c>
      <c r="B381">
        <f t="shared" si="20"/>
        <v>15</v>
      </c>
      <c r="C381">
        <f t="shared" si="21"/>
        <v>1</v>
      </c>
      <c r="D381">
        <f t="shared" si="22"/>
        <v>2018</v>
      </c>
      <c r="E381" s="11">
        <v>3.1309999999999998</v>
      </c>
      <c r="F381" s="11">
        <v>101.54900000000001</v>
      </c>
      <c r="G381" s="11">
        <v>27.4</v>
      </c>
      <c r="H381" s="1" t="s">
        <v>0</v>
      </c>
      <c r="I381">
        <v>0</v>
      </c>
      <c r="J381" t="s">
        <v>6</v>
      </c>
      <c r="K381">
        <v>22.8</v>
      </c>
      <c r="L381">
        <v>26.4</v>
      </c>
      <c r="M381">
        <f t="shared" si="23"/>
        <v>0</v>
      </c>
    </row>
    <row r="382" spans="1:13" x14ac:dyDescent="0.2">
      <c r="A382" s="9">
        <v>43116</v>
      </c>
      <c r="B382">
        <f t="shared" si="20"/>
        <v>16</v>
      </c>
      <c r="C382">
        <f t="shared" si="21"/>
        <v>1</v>
      </c>
      <c r="D382">
        <f t="shared" si="22"/>
        <v>2018</v>
      </c>
      <c r="E382" s="11">
        <v>3.1309999999999998</v>
      </c>
      <c r="F382" s="11">
        <v>101.54900000000001</v>
      </c>
      <c r="G382" s="11">
        <v>27.4</v>
      </c>
      <c r="H382" s="1" t="s">
        <v>0</v>
      </c>
      <c r="I382">
        <v>0</v>
      </c>
      <c r="J382" t="s">
        <v>6</v>
      </c>
      <c r="K382">
        <v>23</v>
      </c>
      <c r="L382">
        <v>26.6</v>
      </c>
      <c r="M382">
        <f t="shared" si="23"/>
        <v>0</v>
      </c>
    </row>
    <row r="383" spans="1:13" x14ac:dyDescent="0.2">
      <c r="A383" s="9">
        <v>43117</v>
      </c>
      <c r="B383">
        <f t="shared" si="20"/>
        <v>17</v>
      </c>
      <c r="C383">
        <f t="shared" si="21"/>
        <v>1</v>
      </c>
      <c r="D383">
        <f t="shared" si="22"/>
        <v>2018</v>
      </c>
      <c r="E383" s="11">
        <v>3.1309999999999998</v>
      </c>
      <c r="F383" s="11">
        <v>101.54900000000001</v>
      </c>
      <c r="G383" s="11">
        <v>27.4</v>
      </c>
      <c r="H383" s="1" t="s">
        <v>0</v>
      </c>
      <c r="I383">
        <v>0</v>
      </c>
      <c r="J383" t="s">
        <v>6</v>
      </c>
      <c r="K383">
        <v>23.6</v>
      </c>
      <c r="L383">
        <v>27.2</v>
      </c>
      <c r="M383">
        <f t="shared" si="23"/>
        <v>0</v>
      </c>
    </row>
    <row r="384" spans="1:13" x14ac:dyDescent="0.2">
      <c r="A384" s="9">
        <v>43118</v>
      </c>
      <c r="B384">
        <f t="shared" si="20"/>
        <v>18</v>
      </c>
      <c r="C384">
        <f t="shared" si="21"/>
        <v>1</v>
      </c>
      <c r="D384">
        <f t="shared" si="22"/>
        <v>2018</v>
      </c>
      <c r="E384" s="11">
        <v>3.1309999999999998</v>
      </c>
      <c r="F384" s="11">
        <v>101.54900000000001</v>
      </c>
      <c r="G384" s="11">
        <v>27.4</v>
      </c>
      <c r="H384" s="1" t="s">
        <v>0</v>
      </c>
      <c r="I384">
        <v>8.6</v>
      </c>
      <c r="J384" t="s">
        <v>6</v>
      </c>
      <c r="K384">
        <v>24</v>
      </c>
      <c r="L384">
        <v>26.4</v>
      </c>
      <c r="M384">
        <f t="shared" si="23"/>
        <v>1</v>
      </c>
    </row>
    <row r="385" spans="1:13" x14ac:dyDescent="0.2">
      <c r="A385" s="9">
        <v>43119</v>
      </c>
      <c r="B385">
        <f t="shared" si="20"/>
        <v>19</v>
      </c>
      <c r="C385">
        <f t="shared" si="21"/>
        <v>1</v>
      </c>
      <c r="D385">
        <f t="shared" si="22"/>
        <v>2018</v>
      </c>
      <c r="E385" s="11">
        <v>3.1309999999999998</v>
      </c>
      <c r="F385" s="11">
        <v>101.54900000000001</v>
      </c>
      <c r="G385" s="11">
        <v>27.4</v>
      </c>
      <c r="H385" s="1" t="s">
        <v>0</v>
      </c>
      <c r="I385">
        <v>45.7</v>
      </c>
      <c r="J385" t="s">
        <v>6</v>
      </c>
      <c r="K385">
        <v>23.6</v>
      </c>
      <c r="L385">
        <v>26.3</v>
      </c>
      <c r="M385">
        <f t="shared" si="23"/>
        <v>1</v>
      </c>
    </row>
    <row r="386" spans="1:13" x14ac:dyDescent="0.2">
      <c r="A386" s="9">
        <v>43120</v>
      </c>
      <c r="B386">
        <f t="shared" si="20"/>
        <v>20</v>
      </c>
      <c r="C386">
        <f t="shared" si="21"/>
        <v>1</v>
      </c>
      <c r="D386">
        <f t="shared" si="22"/>
        <v>2018</v>
      </c>
      <c r="E386" s="11">
        <v>3.1309999999999998</v>
      </c>
      <c r="F386" s="11">
        <v>101.54900000000001</v>
      </c>
      <c r="G386" s="11">
        <v>27.4</v>
      </c>
      <c r="H386" s="1" t="s">
        <v>0</v>
      </c>
      <c r="I386">
        <v>16.8</v>
      </c>
      <c r="J386" t="s">
        <v>6</v>
      </c>
      <c r="K386">
        <v>23.9</v>
      </c>
      <c r="L386">
        <v>27.1</v>
      </c>
      <c r="M386">
        <f t="shared" si="23"/>
        <v>1</v>
      </c>
    </row>
    <row r="387" spans="1:13" x14ac:dyDescent="0.2">
      <c r="A387" s="9">
        <v>43121</v>
      </c>
      <c r="B387">
        <f t="shared" ref="B387:B450" si="24">DAY(A387)</f>
        <v>21</v>
      </c>
      <c r="C387">
        <f t="shared" ref="C387:C450" si="25">MONTH(A387)</f>
        <v>1</v>
      </c>
      <c r="D387">
        <f t="shared" ref="D387:D450" si="26">YEAR(A387)</f>
        <v>2018</v>
      </c>
      <c r="E387" s="11">
        <v>3.1309999999999998</v>
      </c>
      <c r="F387" s="11">
        <v>101.54900000000001</v>
      </c>
      <c r="G387" s="11">
        <v>27.4</v>
      </c>
      <c r="H387" s="1" t="s">
        <v>0</v>
      </c>
      <c r="I387">
        <v>0</v>
      </c>
      <c r="J387" t="s">
        <v>6</v>
      </c>
      <c r="K387">
        <v>24.2</v>
      </c>
      <c r="L387">
        <v>27.2</v>
      </c>
      <c r="M387">
        <f t="shared" ref="M387:M450" si="27">IF(ISNUMBER(I387), IF(I387&gt;0, 1, 0), "")</f>
        <v>0</v>
      </c>
    </row>
    <row r="388" spans="1:13" x14ac:dyDescent="0.2">
      <c r="A388" s="9">
        <v>43122</v>
      </c>
      <c r="B388">
        <f t="shared" si="24"/>
        <v>22</v>
      </c>
      <c r="C388">
        <f t="shared" si="25"/>
        <v>1</v>
      </c>
      <c r="D388">
        <f t="shared" si="26"/>
        <v>2018</v>
      </c>
      <c r="E388" s="11">
        <v>3.1309999999999998</v>
      </c>
      <c r="F388" s="11">
        <v>101.54900000000001</v>
      </c>
      <c r="G388" s="11">
        <v>27.4</v>
      </c>
      <c r="H388" s="1" t="s">
        <v>0</v>
      </c>
      <c r="I388">
        <v>0</v>
      </c>
      <c r="J388" t="s">
        <v>6</v>
      </c>
      <c r="K388">
        <v>24.6</v>
      </c>
      <c r="L388">
        <v>27.7</v>
      </c>
      <c r="M388">
        <f t="shared" si="27"/>
        <v>0</v>
      </c>
    </row>
    <row r="389" spans="1:13" x14ac:dyDescent="0.2">
      <c r="A389" s="9">
        <v>43123</v>
      </c>
      <c r="B389">
        <f t="shared" si="24"/>
        <v>23</v>
      </c>
      <c r="C389">
        <f t="shared" si="25"/>
        <v>1</v>
      </c>
      <c r="D389">
        <f t="shared" si="26"/>
        <v>2018</v>
      </c>
      <c r="E389" s="11">
        <v>3.1309999999999998</v>
      </c>
      <c r="F389" s="11">
        <v>101.54900000000001</v>
      </c>
      <c r="G389" s="11">
        <v>27.4</v>
      </c>
      <c r="H389" s="1" t="s">
        <v>0</v>
      </c>
      <c r="I389">
        <v>0</v>
      </c>
      <c r="J389" t="s">
        <v>6</v>
      </c>
      <c r="K389" t="s">
        <v>6</v>
      </c>
      <c r="L389">
        <v>27</v>
      </c>
      <c r="M389">
        <f t="shared" si="27"/>
        <v>0</v>
      </c>
    </row>
    <row r="390" spans="1:13" x14ac:dyDescent="0.2">
      <c r="A390" s="9">
        <v>43124</v>
      </c>
      <c r="B390">
        <f t="shared" si="24"/>
        <v>24</v>
      </c>
      <c r="C390">
        <f t="shared" si="25"/>
        <v>1</v>
      </c>
      <c r="D390">
        <f t="shared" si="26"/>
        <v>2018</v>
      </c>
      <c r="E390" s="11">
        <v>3.1309999999999998</v>
      </c>
      <c r="F390" s="11">
        <v>101.54900000000001</v>
      </c>
      <c r="G390" s="11">
        <v>27.4</v>
      </c>
      <c r="H390" s="1" t="s">
        <v>0</v>
      </c>
      <c r="I390">
        <v>1</v>
      </c>
      <c r="J390" t="s">
        <v>6</v>
      </c>
      <c r="K390" t="s">
        <v>6</v>
      </c>
      <c r="L390">
        <v>25.6</v>
      </c>
      <c r="M390">
        <f t="shared" si="27"/>
        <v>1</v>
      </c>
    </row>
    <row r="391" spans="1:13" x14ac:dyDescent="0.2">
      <c r="A391" s="9">
        <v>43125</v>
      </c>
      <c r="B391">
        <f t="shared" si="24"/>
        <v>25</v>
      </c>
      <c r="C391">
        <f t="shared" si="25"/>
        <v>1</v>
      </c>
      <c r="D391">
        <f t="shared" si="26"/>
        <v>2018</v>
      </c>
      <c r="E391" s="11">
        <v>3.1309999999999998</v>
      </c>
      <c r="F391" s="11">
        <v>101.54900000000001</v>
      </c>
      <c r="G391" s="11">
        <v>27.4</v>
      </c>
      <c r="H391" s="1" t="s">
        <v>0</v>
      </c>
      <c r="I391">
        <v>62.5</v>
      </c>
      <c r="J391" t="s">
        <v>6</v>
      </c>
      <c r="K391">
        <v>23.1</v>
      </c>
      <c r="L391">
        <v>26.8</v>
      </c>
      <c r="M391">
        <f t="shared" si="27"/>
        <v>1</v>
      </c>
    </row>
    <row r="392" spans="1:13" x14ac:dyDescent="0.2">
      <c r="A392" s="9">
        <v>43126</v>
      </c>
      <c r="B392">
        <f t="shared" si="24"/>
        <v>26</v>
      </c>
      <c r="C392">
        <f t="shared" si="25"/>
        <v>1</v>
      </c>
      <c r="D392">
        <f t="shared" si="26"/>
        <v>2018</v>
      </c>
      <c r="E392" s="11">
        <v>3.1309999999999998</v>
      </c>
      <c r="F392" s="11">
        <v>101.54900000000001</v>
      </c>
      <c r="G392" s="11">
        <v>27.4</v>
      </c>
      <c r="H392" s="1" t="s">
        <v>0</v>
      </c>
      <c r="I392">
        <v>0</v>
      </c>
      <c r="J392" t="s">
        <v>6</v>
      </c>
      <c r="K392" t="s">
        <v>6</v>
      </c>
      <c r="L392">
        <v>25.4</v>
      </c>
      <c r="M392">
        <f t="shared" si="27"/>
        <v>0</v>
      </c>
    </row>
    <row r="393" spans="1:13" x14ac:dyDescent="0.2">
      <c r="A393" s="9">
        <v>43127</v>
      </c>
      <c r="B393">
        <f t="shared" si="24"/>
        <v>27</v>
      </c>
      <c r="C393">
        <f t="shared" si="25"/>
        <v>1</v>
      </c>
      <c r="D393">
        <f t="shared" si="26"/>
        <v>2018</v>
      </c>
      <c r="E393" s="11">
        <v>3.1309999999999998</v>
      </c>
      <c r="F393" s="11">
        <v>101.54900000000001</v>
      </c>
      <c r="G393" s="11">
        <v>27.4</v>
      </c>
      <c r="H393" s="1" t="s">
        <v>0</v>
      </c>
      <c r="I393">
        <v>105.9</v>
      </c>
      <c r="J393" t="s">
        <v>6</v>
      </c>
      <c r="K393">
        <v>23.3</v>
      </c>
      <c r="L393">
        <v>27.9</v>
      </c>
      <c r="M393">
        <f t="shared" si="27"/>
        <v>1</v>
      </c>
    </row>
    <row r="394" spans="1:13" x14ac:dyDescent="0.2">
      <c r="A394" s="9">
        <v>43128</v>
      </c>
      <c r="B394">
        <f t="shared" si="24"/>
        <v>28</v>
      </c>
      <c r="C394">
        <f t="shared" si="25"/>
        <v>1</v>
      </c>
      <c r="D394">
        <f t="shared" si="26"/>
        <v>2018</v>
      </c>
      <c r="E394" s="11">
        <v>3.1309999999999998</v>
      </c>
      <c r="F394" s="11">
        <v>101.54900000000001</v>
      </c>
      <c r="G394" s="11">
        <v>27.4</v>
      </c>
      <c r="H394" s="1" t="s">
        <v>0</v>
      </c>
      <c r="I394">
        <v>0</v>
      </c>
      <c r="J394" t="s">
        <v>6</v>
      </c>
      <c r="K394">
        <v>23.6</v>
      </c>
      <c r="L394">
        <v>27.1</v>
      </c>
      <c r="M394">
        <f t="shared" si="27"/>
        <v>0</v>
      </c>
    </row>
    <row r="395" spans="1:13" x14ac:dyDescent="0.2">
      <c r="A395" s="9">
        <v>43129</v>
      </c>
      <c r="B395">
        <f t="shared" si="24"/>
        <v>29</v>
      </c>
      <c r="C395">
        <f t="shared" si="25"/>
        <v>1</v>
      </c>
      <c r="D395">
        <f t="shared" si="26"/>
        <v>2018</v>
      </c>
      <c r="E395" s="11">
        <v>3.1309999999999998</v>
      </c>
      <c r="F395" s="11">
        <v>101.54900000000001</v>
      </c>
      <c r="G395" s="11">
        <v>27.4</v>
      </c>
      <c r="H395" s="1" t="s">
        <v>0</v>
      </c>
      <c r="I395">
        <v>11.9</v>
      </c>
      <c r="J395" t="s">
        <v>6</v>
      </c>
      <c r="K395">
        <v>24</v>
      </c>
      <c r="L395">
        <v>27.5</v>
      </c>
      <c r="M395">
        <f t="shared" si="27"/>
        <v>1</v>
      </c>
    </row>
    <row r="396" spans="1:13" x14ac:dyDescent="0.2">
      <c r="A396" s="9">
        <v>43130</v>
      </c>
      <c r="B396">
        <f t="shared" si="24"/>
        <v>30</v>
      </c>
      <c r="C396">
        <f t="shared" si="25"/>
        <v>1</v>
      </c>
      <c r="D396">
        <f t="shared" si="26"/>
        <v>2018</v>
      </c>
      <c r="E396" s="11">
        <v>3.1309999999999998</v>
      </c>
      <c r="F396" s="11">
        <v>101.54900000000001</v>
      </c>
      <c r="G396" s="11">
        <v>27.4</v>
      </c>
      <c r="H396" s="1" t="s">
        <v>0</v>
      </c>
      <c r="I396">
        <v>1</v>
      </c>
      <c r="J396" t="s">
        <v>6</v>
      </c>
      <c r="K396">
        <v>24.2</v>
      </c>
      <c r="L396">
        <v>28.7</v>
      </c>
      <c r="M396">
        <f t="shared" si="27"/>
        <v>1</v>
      </c>
    </row>
    <row r="397" spans="1:13" x14ac:dyDescent="0.2">
      <c r="A397" s="9">
        <v>43131</v>
      </c>
      <c r="B397">
        <f t="shared" si="24"/>
        <v>31</v>
      </c>
      <c r="C397">
        <f t="shared" si="25"/>
        <v>1</v>
      </c>
      <c r="D397">
        <f t="shared" si="26"/>
        <v>2018</v>
      </c>
      <c r="E397" s="11">
        <v>3.1309999999999998</v>
      </c>
      <c r="F397" s="11">
        <v>101.54900000000001</v>
      </c>
      <c r="G397" s="11">
        <v>27.4</v>
      </c>
      <c r="H397" s="1" t="s">
        <v>0</v>
      </c>
      <c r="I397">
        <v>0</v>
      </c>
      <c r="J397" t="s">
        <v>6</v>
      </c>
      <c r="K397">
        <v>24.6</v>
      </c>
      <c r="L397">
        <v>27.9</v>
      </c>
      <c r="M397">
        <f t="shared" si="27"/>
        <v>0</v>
      </c>
    </row>
    <row r="398" spans="1:13" x14ac:dyDescent="0.2">
      <c r="A398" s="9">
        <v>43132</v>
      </c>
      <c r="B398">
        <f t="shared" si="24"/>
        <v>1</v>
      </c>
      <c r="C398">
        <f t="shared" si="25"/>
        <v>2</v>
      </c>
      <c r="D398">
        <f t="shared" si="26"/>
        <v>2018</v>
      </c>
      <c r="E398" s="11">
        <v>3.1309999999999998</v>
      </c>
      <c r="F398" s="11">
        <v>101.54900000000001</v>
      </c>
      <c r="G398" s="11">
        <v>27.4</v>
      </c>
      <c r="H398" s="1" t="s">
        <v>0</v>
      </c>
      <c r="I398">
        <v>2.8</v>
      </c>
      <c r="J398" t="s">
        <v>6</v>
      </c>
      <c r="K398">
        <v>24.4</v>
      </c>
      <c r="L398">
        <v>27.8</v>
      </c>
      <c r="M398">
        <f t="shared" si="27"/>
        <v>1</v>
      </c>
    </row>
    <row r="399" spans="1:13" x14ac:dyDescent="0.2">
      <c r="A399" s="9">
        <v>43133</v>
      </c>
      <c r="B399">
        <f t="shared" si="24"/>
        <v>2</v>
      </c>
      <c r="C399">
        <f t="shared" si="25"/>
        <v>2</v>
      </c>
      <c r="D399">
        <f t="shared" si="26"/>
        <v>2018</v>
      </c>
      <c r="E399" s="11">
        <v>3.1309999999999998</v>
      </c>
      <c r="F399" s="11">
        <v>101.54900000000001</v>
      </c>
      <c r="G399" s="11">
        <v>27.4</v>
      </c>
      <c r="H399" s="1" t="s">
        <v>0</v>
      </c>
      <c r="I399">
        <v>0.3</v>
      </c>
      <c r="J399" t="s">
        <v>6</v>
      </c>
      <c r="K399" t="s">
        <v>6</v>
      </c>
      <c r="L399">
        <v>27.9</v>
      </c>
      <c r="M399">
        <f t="shared" si="27"/>
        <v>1</v>
      </c>
    </row>
    <row r="400" spans="1:13" x14ac:dyDescent="0.2">
      <c r="A400" s="9">
        <v>43134</v>
      </c>
      <c r="B400">
        <f t="shared" si="24"/>
        <v>3</v>
      </c>
      <c r="C400">
        <f t="shared" si="25"/>
        <v>2</v>
      </c>
      <c r="D400">
        <f t="shared" si="26"/>
        <v>2018</v>
      </c>
      <c r="E400" s="11">
        <v>3.1309999999999998</v>
      </c>
      <c r="F400" s="11">
        <v>101.54900000000001</v>
      </c>
      <c r="G400" s="11">
        <v>27.4</v>
      </c>
      <c r="H400" s="1" t="s">
        <v>0</v>
      </c>
      <c r="I400">
        <v>0</v>
      </c>
      <c r="J400" t="s">
        <v>6</v>
      </c>
      <c r="K400" t="s">
        <v>6</v>
      </c>
      <c r="L400">
        <v>28.8</v>
      </c>
      <c r="M400">
        <f t="shared" si="27"/>
        <v>0</v>
      </c>
    </row>
    <row r="401" spans="1:13" x14ac:dyDescent="0.2">
      <c r="A401" s="9">
        <v>43135</v>
      </c>
      <c r="B401">
        <f t="shared" si="24"/>
        <v>4</v>
      </c>
      <c r="C401">
        <f t="shared" si="25"/>
        <v>2</v>
      </c>
      <c r="D401">
        <f t="shared" si="26"/>
        <v>2018</v>
      </c>
      <c r="E401" s="11">
        <v>3.1309999999999998</v>
      </c>
      <c r="F401" s="11">
        <v>101.54900000000001</v>
      </c>
      <c r="G401" s="11">
        <v>27.4</v>
      </c>
      <c r="H401" s="1" t="s">
        <v>0</v>
      </c>
      <c r="I401">
        <v>0</v>
      </c>
      <c r="J401" t="s">
        <v>6</v>
      </c>
      <c r="K401">
        <v>23.7</v>
      </c>
      <c r="L401">
        <v>28.7</v>
      </c>
      <c r="M401">
        <f t="shared" si="27"/>
        <v>0</v>
      </c>
    </row>
    <row r="402" spans="1:13" x14ac:dyDescent="0.2">
      <c r="A402" s="9">
        <v>43136</v>
      </c>
      <c r="B402">
        <f t="shared" si="24"/>
        <v>5</v>
      </c>
      <c r="C402">
        <f t="shared" si="25"/>
        <v>2</v>
      </c>
      <c r="D402">
        <f t="shared" si="26"/>
        <v>2018</v>
      </c>
      <c r="E402" s="11">
        <v>3.1309999999999998</v>
      </c>
      <c r="F402" s="11">
        <v>101.54900000000001</v>
      </c>
      <c r="G402" s="11">
        <v>27.4</v>
      </c>
      <c r="H402" s="1" t="s">
        <v>0</v>
      </c>
      <c r="I402">
        <v>0</v>
      </c>
      <c r="J402" t="s">
        <v>6</v>
      </c>
      <c r="K402">
        <v>24</v>
      </c>
      <c r="L402">
        <v>27.8</v>
      </c>
      <c r="M402">
        <f t="shared" si="27"/>
        <v>0</v>
      </c>
    </row>
    <row r="403" spans="1:13" x14ac:dyDescent="0.2">
      <c r="A403" s="9">
        <v>43137</v>
      </c>
      <c r="B403">
        <f t="shared" si="24"/>
        <v>6</v>
      </c>
      <c r="C403">
        <f t="shared" si="25"/>
        <v>2</v>
      </c>
      <c r="D403">
        <f t="shared" si="26"/>
        <v>2018</v>
      </c>
      <c r="E403" s="11">
        <v>3.1309999999999998</v>
      </c>
      <c r="F403" s="11">
        <v>101.54900000000001</v>
      </c>
      <c r="G403" s="11">
        <v>27.4</v>
      </c>
      <c r="H403" s="1" t="s">
        <v>0</v>
      </c>
      <c r="I403">
        <v>0</v>
      </c>
      <c r="J403" t="s">
        <v>6</v>
      </c>
      <c r="K403">
        <v>23.7</v>
      </c>
      <c r="L403">
        <v>26.9</v>
      </c>
      <c r="M403">
        <f t="shared" si="27"/>
        <v>0</v>
      </c>
    </row>
    <row r="404" spans="1:13" x14ac:dyDescent="0.2">
      <c r="A404" s="9">
        <v>43138</v>
      </c>
      <c r="B404">
        <f t="shared" si="24"/>
        <v>7</v>
      </c>
      <c r="C404">
        <f t="shared" si="25"/>
        <v>2</v>
      </c>
      <c r="D404">
        <f t="shared" si="26"/>
        <v>2018</v>
      </c>
      <c r="E404" s="11">
        <v>3.1309999999999998</v>
      </c>
      <c r="F404" s="11">
        <v>101.54900000000001</v>
      </c>
      <c r="G404" s="11">
        <v>27.4</v>
      </c>
      <c r="H404" s="1" t="s">
        <v>0</v>
      </c>
      <c r="I404">
        <v>0</v>
      </c>
      <c r="J404" t="s">
        <v>6</v>
      </c>
      <c r="K404">
        <v>23.2</v>
      </c>
      <c r="L404">
        <v>27.1</v>
      </c>
      <c r="M404">
        <f t="shared" si="27"/>
        <v>0</v>
      </c>
    </row>
    <row r="405" spans="1:13" x14ac:dyDescent="0.2">
      <c r="A405" s="9">
        <v>43139</v>
      </c>
      <c r="B405">
        <f t="shared" si="24"/>
        <v>8</v>
      </c>
      <c r="C405">
        <f t="shared" si="25"/>
        <v>2</v>
      </c>
      <c r="D405">
        <f t="shared" si="26"/>
        <v>2018</v>
      </c>
      <c r="E405" s="11">
        <v>3.1309999999999998</v>
      </c>
      <c r="F405" s="11">
        <v>101.54900000000001</v>
      </c>
      <c r="G405" s="11">
        <v>27.4</v>
      </c>
      <c r="H405" s="1" t="s">
        <v>0</v>
      </c>
      <c r="I405">
        <v>0</v>
      </c>
      <c r="J405" t="s">
        <v>6</v>
      </c>
      <c r="K405">
        <v>23.4</v>
      </c>
      <c r="L405">
        <v>27.8</v>
      </c>
      <c r="M405">
        <f t="shared" si="27"/>
        <v>0</v>
      </c>
    </row>
    <row r="406" spans="1:13" x14ac:dyDescent="0.2">
      <c r="A406" s="9">
        <v>43140</v>
      </c>
      <c r="B406">
        <f t="shared" si="24"/>
        <v>9</v>
      </c>
      <c r="C406">
        <f t="shared" si="25"/>
        <v>2</v>
      </c>
      <c r="D406">
        <f t="shared" si="26"/>
        <v>2018</v>
      </c>
      <c r="E406" s="11">
        <v>3.1309999999999998</v>
      </c>
      <c r="F406" s="11">
        <v>101.54900000000001</v>
      </c>
      <c r="G406" s="11">
        <v>27.4</v>
      </c>
      <c r="H406" s="1" t="s">
        <v>0</v>
      </c>
      <c r="I406">
        <v>4.3</v>
      </c>
      <c r="J406" t="s">
        <v>6</v>
      </c>
      <c r="K406">
        <v>23.5</v>
      </c>
      <c r="L406">
        <v>28.5</v>
      </c>
      <c r="M406">
        <f t="shared" si="27"/>
        <v>1</v>
      </c>
    </row>
    <row r="407" spans="1:13" x14ac:dyDescent="0.2">
      <c r="A407" s="9">
        <v>43141</v>
      </c>
      <c r="B407">
        <f t="shared" si="24"/>
        <v>10</v>
      </c>
      <c r="C407">
        <f t="shared" si="25"/>
        <v>2</v>
      </c>
      <c r="D407">
        <f t="shared" si="26"/>
        <v>2018</v>
      </c>
      <c r="E407" s="11">
        <v>3.1309999999999998</v>
      </c>
      <c r="F407" s="11">
        <v>101.54900000000001</v>
      </c>
      <c r="G407" s="11">
        <v>27.4</v>
      </c>
      <c r="H407" s="1" t="s">
        <v>0</v>
      </c>
      <c r="I407">
        <v>0</v>
      </c>
      <c r="J407" t="s">
        <v>6</v>
      </c>
      <c r="K407">
        <v>23.9</v>
      </c>
      <c r="L407">
        <v>28.3</v>
      </c>
      <c r="M407">
        <f t="shared" si="27"/>
        <v>0</v>
      </c>
    </row>
    <row r="408" spans="1:13" x14ac:dyDescent="0.2">
      <c r="A408" s="9">
        <v>43142</v>
      </c>
      <c r="B408">
        <f t="shared" si="24"/>
        <v>11</v>
      </c>
      <c r="C408">
        <f t="shared" si="25"/>
        <v>2</v>
      </c>
      <c r="D408">
        <f t="shared" si="26"/>
        <v>2018</v>
      </c>
      <c r="E408" s="11">
        <v>3.1309999999999998</v>
      </c>
      <c r="F408" s="11">
        <v>101.54900000000001</v>
      </c>
      <c r="G408" s="11">
        <v>27.4</v>
      </c>
      <c r="H408" s="1" t="s">
        <v>0</v>
      </c>
      <c r="I408">
        <v>7.6</v>
      </c>
      <c r="J408" t="s">
        <v>6</v>
      </c>
      <c r="K408" t="s">
        <v>6</v>
      </c>
      <c r="L408">
        <v>27.9</v>
      </c>
      <c r="M408">
        <f t="shared" si="27"/>
        <v>1</v>
      </c>
    </row>
    <row r="409" spans="1:13" x14ac:dyDescent="0.2">
      <c r="A409" s="9">
        <v>43143</v>
      </c>
      <c r="B409">
        <f t="shared" si="24"/>
        <v>12</v>
      </c>
      <c r="C409">
        <f t="shared" si="25"/>
        <v>2</v>
      </c>
      <c r="D409">
        <f t="shared" si="26"/>
        <v>2018</v>
      </c>
      <c r="E409" s="11">
        <v>3.1309999999999998</v>
      </c>
      <c r="F409" s="11">
        <v>101.54900000000001</v>
      </c>
      <c r="G409" s="11">
        <v>27.4</v>
      </c>
      <c r="H409" s="1" t="s">
        <v>0</v>
      </c>
      <c r="I409">
        <v>4.0999999999999996</v>
      </c>
      <c r="J409" t="s">
        <v>6</v>
      </c>
      <c r="K409" t="s">
        <v>6</v>
      </c>
      <c r="L409">
        <v>28.2</v>
      </c>
      <c r="M409">
        <f t="shared" si="27"/>
        <v>1</v>
      </c>
    </row>
    <row r="410" spans="1:13" x14ac:dyDescent="0.2">
      <c r="A410" s="9">
        <v>43144</v>
      </c>
      <c r="B410">
        <f t="shared" si="24"/>
        <v>13</v>
      </c>
      <c r="C410">
        <f t="shared" si="25"/>
        <v>2</v>
      </c>
      <c r="D410">
        <f t="shared" si="26"/>
        <v>2018</v>
      </c>
      <c r="E410" s="11">
        <v>3.1309999999999998</v>
      </c>
      <c r="F410" s="11">
        <v>101.54900000000001</v>
      </c>
      <c r="G410" s="11">
        <v>27.4</v>
      </c>
      <c r="H410" s="1" t="s">
        <v>0</v>
      </c>
      <c r="I410">
        <v>0</v>
      </c>
      <c r="J410" t="s">
        <v>6</v>
      </c>
      <c r="K410">
        <v>22.6</v>
      </c>
      <c r="L410">
        <v>28.7</v>
      </c>
      <c r="M410">
        <f t="shared" si="27"/>
        <v>0</v>
      </c>
    </row>
    <row r="411" spans="1:13" x14ac:dyDescent="0.2">
      <c r="A411" s="9">
        <v>43145</v>
      </c>
      <c r="B411">
        <f t="shared" si="24"/>
        <v>14</v>
      </c>
      <c r="C411">
        <f t="shared" si="25"/>
        <v>2</v>
      </c>
      <c r="D411">
        <f t="shared" si="26"/>
        <v>2018</v>
      </c>
      <c r="E411" s="11">
        <v>3.1309999999999998</v>
      </c>
      <c r="F411" s="11">
        <v>101.54900000000001</v>
      </c>
      <c r="G411" s="11">
        <v>27.4</v>
      </c>
      <c r="H411" s="1" t="s">
        <v>0</v>
      </c>
      <c r="I411">
        <v>0</v>
      </c>
      <c r="J411" t="s">
        <v>6</v>
      </c>
      <c r="K411">
        <v>23.1</v>
      </c>
      <c r="L411">
        <v>26.8</v>
      </c>
      <c r="M411">
        <f t="shared" si="27"/>
        <v>0</v>
      </c>
    </row>
    <row r="412" spans="1:13" x14ac:dyDescent="0.2">
      <c r="A412" s="9">
        <v>43146</v>
      </c>
      <c r="B412">
        <f t="shared" si="24"/>
        <v>15</v>
      </c>
      <c r="C412">
        <f t="shared" si="25"/>
        <v>2</v>
      </c>
      <c r="D412">
        <f t="shared" si="26"/>
        <v>2018</v>
      </c>
      <c r="E412" s="11">
        <v>3.1309999999999998</v>
      </c>
      <c r="F412" s="11">
        <v>101.54900000000001</v>
      </c>
      <c r="G412" s="11">
        <v>27.4</v>
      </c>
      <c r="H412" s="1" t="s">
        <v>0</v>
      </c>
      <c r="I412">
        <v>31.8</v>
      </c>
      <c r="J412" t="s">
        <v>6</v>
      </c>
      <c r="K412">
        <v>23.6</v>
      </c>
      <c r="L412">
        <v>28.4</v>
      </c>
      <c r="M412">
        <f t="shared" si="27"/>
        <v>1</v>
      </c>
    </row>
    <row r="413" spans="1:13" x14ac:dyDescent="0.2">
      <c r="A413" s="9">
        <v>43147</v>
      </c>
      <c r="B413">
        <f t="shared" si="24"/>
        <v>16</v>
      </c>
      <c r="C413">
        <f t="shared" si="25"/>
        <v>2</v>
      </c>
      <c r="D413">
        <f t="shared" si="26"/>
        <v>2018</v>
      </c>
      <c r="E413" s="11">
        <v>3.1309999999999998</v>
      </c>
      <c r="F413" s="11">
        <v>101.54900000000001</v>
      </c>
      <c r="G413" s="11">
        <v>27.4</v>
      </c>
      <c r="H413" s="1" t="s">
        <v>0</v>
      </c>
      <c r="I413">
        <v>0</v>
      </c>
      <c r="J413" t="s">
        <v>6</v>
      </c>
      <c r="K413">
        <v>24.1</v>
      </c>
      <c r="L413">
        <v>28.8</v>
      </c>
      <c r="M413">
        <f t="shared" si="27"/>
        <v>0</v>
      </c>
    </row>
    <row r="414" spans="1:13" x14ac:dyDescent="0.2">
      <c r="A414" s="9">
        <v>43148</v>
      </c>
      <c r="B414">
        <f t="shared" si="24"/>
        <v>17</v>
      </c>
      <c r="C414">
        <f t="shared" si="25"/>
        <v>2</v>
      </c>
      <c r="D414">
        <f t="shared" si="26"/>
        <v>2018</v>
      </c>
      <c r="E414" s="11">
        <v>3.1309999999999998</v>
      </c>
      <c r="F414" s="11">
        <v>101.54900000000001</v>
      </c>
      <c r="G414" s="11">
        <v>27.4</v>
      </c>
      <c r="H414" s="1" t="s">
        <v>0</v>
      </c>
      <c r="I414">
        <v>0</v>
      </c>
      <c r="J414" t="s">
        <v>6</v>
      </c>
      <c r="K414" t="s">
        <v>6</v>
      </c>
      <c r="L414">
        <v>27.4</v>
      </c>
      <c r="M414">
        <f t="shared" si="27"/>
        <v>0</v>
      </c>
    </row>
    <row r="415" spans="1:13" x14ac:dyDescent="0.2">
      <c r="A415" s="9">
        <v>43149</v>
      </c>
      <c r="B415">
        <f t="shared" si="24"/>
        <v>18</v>
      </c>
      <c r="C415">
        <f t="shared" si="25"/>
        <v>2</v>
      </c>
      <c r="D415">
        <f t="shared" si="26"/>
        <v>2018</v>
      </c>
      <c r="E415" s="11">
        <v>3.1309999999999998</v>
      </c>
      <c r="F415" s="11">
        <v>101.54900000000001</v>
      </c>
      <c r="G415" s="11">
        <v>27.4</v>
      </c>
      <c r="H415" s="1" t="s">
        <v>0</v>
      </c>
      <c r="I415">
        <v>4.5999999999999996</v>
      </c>
      <c r="J415" t="s">
        <v>6</v>
      </c>
      <c r="K415" t="s">
        <v>6</v>
      </c>
      <c r="L415">
        <v>27.5</v>
      </c>
      <c r="M415">
        <f t="shared" si="27"/>
        <v>1</v>
      </c>
    </row>
    <row r="416" spans="1:13" x14ac:dyDescent="0.2">
      <c r="A416" s="9">
        <v>43150</v>
      </c>
      <c r="B416">
        <f t="shared" si="24"/>
        <v>19</v>
      </c>
      <c r="C416">
        <f t="shared" si="25"/>
        <v>2</v>
      </c>
      <c r="D416">
        <f t="shared" si="26"/>
        <v>2018</v>
      </c>
      <c r="E416" s="11">
        <v>3.1309999999999998</v>
      </c>
      <c r="F416" s="11">
        <v>101.54900000000001</v>
      </c>
      <c r="G416" s="11">
        <v>27.4</v>
      </c>
      <c r="H416" s="1" t="s">
        <v>0</v>
      </c>
      <c r="I416">
        <v>8.1</v>
      </c>
      <c r="J416" t="s">
        <v>6</v>
      </c>
      <c r="K416" t="s">
        <v>6</v>
      </c>
      <c r="L416">
        <v>27</v>
      </c>
      <c r="M416">
        <f t="shared" si="27"/>
        <v>1</v>
      </c>
    </row>
    <row r="417" spans="1:13" x14ac:dyDescent="0.2">
      <c r="A417" s="9">
        <v>43151</v>
      </c>
      <c r="B417">
        <f t="shared" si="24"/>
        <v>20</v>
      </c>
      <c r="C417">
        <f t="shared" si="25"/>
        <v>2</v>
      </c>
      <c r="D417">
        <f t="shared" si="26"/>
        <v>2018</v>
      </c>
      <c r="E417" s="11">
        <v>3.1309999999999998</v>
      </c>
      <c r="F417" s="11">
        <v>101.54900000000001</v>
      </c>
      <c r="G417" s="11">
        <v>27.4</v>
      </c>
      <c r="H417" s="1" t="s">
        <v>0</v>
      </c>
      <c r="I417">
        <v>16.8</v>
      </c>
      <c r="J417" t="s">
        <v>6</v>
      </c>
      <c r="K417">
        <v>24</v>
      </c>
      <c r="L417">
        <v>27.8</v>
      </c>
      <c r="M417">
        <f t="shared" si="27"/>
        <v>1</v>
      </c>
    </row>
    <row r="418" spans="1:13" x14ac:dyDescent="0.2">
      <c r="A418" s="9">
        <v>43152</v>
      </c>
      <c r="B418">
        <f t="shared" si="24"/>
        <v>21</v>
      </c>
      <c r="C418">
        <f t="shared" si="25"/>
        <v>2</v>
      </c>
      <c r="D418">
        <f t="shared" si="26"/>
        <v>2018</v>
      </c>
      <c r="E418" s="11">
        <v>3.1309999999999998</v>
      </c>
      <c r="F418" s="11">
        <v>101.54900000000001</v>
      </c>
      <c r="G418" s="11">
        <v>27.4</v>
      </c>
      <c r="H418" s="1" t="s">
        <v>0</v>
      </c>
      <c r="I418">
        <v>9.6999999999999993</v>
      </c>
      <c r="J418" t="s">
        <v>6</v>
      </c>
      <c r="K418">
        <v>24.4</v>
      </c>
      <c r="L418">
        <v>27.9</v>
      </c>
      <c r="M418">
        <f t="shared" si="27"/>
        <v>1</v>
      </c>
    </row>
    <row r="419" spans="1:13" x14ac:dyDescent="0.2">
      <c r="A419" s="9">
        <v>43153</v>
      </c>
      <c r="B419">
        <f t="shared" si="24"/>
        <v>22</v>
      </c>
      <c r="C419">
        <f t="shared" si="25"/>
        <v>2</v>
      </c>
      <c r="D419">
        <f t="shared" si="26"/>
        <v>2018</v>
      </c>
      <c r="E419" s="11">
        <v>3.1309999999999998</v>
      </c>
      <c r="F419" s="11">
        <v>101.54900000000001</v>
      </c>
      <c r="G419" s="11">
        <v>27.4</v>
      </c>
      <c r="H419" s="1" t="s">
        <v>0</v>
      </c>
      <c r="I419">
        <v>17.5</v>
      </c>
      <c r="J419" t="s">
        <v>6</v>
      </c>
      <c r="K419" t="s">
        <v>6</v>
      </c>
      <c r="L419">
        <v>26.8</v>
      </c>
      <c r="M419">
        <f t="shared" si="27"/>
        <v>1</v>
      </c>
    </row>
    <row r="420" spans="1:13" x14ac:dyDescent="0.2">
      <c r="A420" s="9">
        <v>43154</v>
      </c>
      <c r="B420">
        <f t="shared" si="24"/>
        <v>23</v>
      </c>
      <c r="C420">
        <f t="shared" si="25"/>
        <v>2</v>
      </c>
      <c r="D420">
        <f t="shared" si="26"/>
        <v>2018</v>
      </c>
      <c r="E420" s="11">
        <v>3.1309999999999998</v>
      </c>
      <c r="F420" s="11">
        <v>101.54900000000001</v>
      </c>
      <c r="G420" s="11">
        <v>27.4</v>
      </c>
      <c r="H420" s="1" t="s">
        <v>0</v>
      </c>
      <c r="I420">
        <v>18.3</v>
      </c>
      <c r="J420" t="s">
        <v>6</v>
      </c>
      <c r="K420" t="s">
        <v>6</v>
      </c>
      <c r="L420">
        <v>26.6</v>
      </c>
      <c r="M420">
        <f t="shared" si="27"/>
        <v>1</v>
      </c>
    </row>
    <row r="421" spans="1:13" x14ac:dyDescent="0.2">
      <c r="A421" s="9">
        <v>43155</v>
      </c>
      <c r="B421">
        <f t="shared" si="24"/>
        <v>24</v>
      </c>
      <c r="C421">
        <f t="shared" si="25"/>
        <v>2</v>
      </c>
      <c r="D421">
        <f t="shared" si="26"/>
        <v>2018</v>
      </c>
      <c r="E421" s="11">
        <v>3.1309999999999998</v>
      </c>
      <c r="F421" s="11">
        <v>101.54900000000001</v>
      </c>
      <c r="G421" s="11">
        <v>27.4</v>
      </c>
      <c r="H421" s="1" t="s">
        <v>0</v>
      </c>
      <c r="I421">
        <v>6.1</v>
      </c>
      <c r="J421" t="s">
        <v>6</v>
      </c>
      <c r="K421">
        <v>23.4</v>
      </c>
      <c r="L421">
        <v>28.6</v>
      </c>
      <c r="M421">
        <f t="shared" si="27"/>
        <v>1</v>
      </c>
    </row>
    <row r="422" spans="1:13" x14ac:dyDescent="0.2">
      <c r="A422" s="9">
        <v>43156</v>
      </c>
      <c r="B422">
        <f t="shared" si="24"/>
        <v>25</v>
      </c>
      <c r="C422">
        <f t="shared" si="25"/>
        <v>2</v>
      </c>
      <c r="D422">
        <f t="shared" si="26"/>
        <v>2018</v>
      </c>
      <c r="E422" s="11">
        <v>3.1309999999999998</v>
      </c>
      <c r="F422" s="11">
        <v>101.54900000000001</v>
      </c>
      <c r="G422" s="11">
        <v>27.4</v>
      </c>
      <c r="H422" s="1" t="s">
        <v>0</v>
      </c>
      <c r="I422">
        <v>0</v>
      </c>
      <c r="J422" t="s">
        <v>6</v>
      </c>
      <c r="K422">
        <v>24.3</v>
      </c>
      <c r="L422">
        <v>29</v>
      </c>
      <c r="M422">
        <f t="shared" si="27"/>
        <v>0</v>
      </c>
    </row>
    <row r="423" spans="1:13" x14ac:dyDescent="0.2">
      <c r="A423" s="9">
        <v>43157</v>
      </c>
      <c r="B423">
        <f t="shared" si="24"/>
        <v>26</v>
      </c>
      <c r="C423">
        <f t="shared" si="25"/>
        <v>2</v>
      </c>
      <c r="D423">
        <f t="shared" si="26"/>
        <v>2018</v>
      </c>
      <c r="E423" s="11">
        <v>3.1309999999999998</v>
      </c>
      <c r="F423" s="11">
        <v>101.54900000000001</v>
      </c>
      <c r="G423" s="11">
        <v>27.4</v>
      </c>
      <c r="H423" s="1" t="s">
        <v>0</v>
      </c>
      <c r="I423">
        <v>0</v>
      </c>
      <c r="J423" t="s">
        <v>6</v>
      </c>
      <c r="K423" t="s">
        <v>6</v>
      </c>
      <c r="L423">
        <v>28.8</v>
      </c>
      <c r="M423">
        <f t="shared" si="27"/>
        <v>0</v>
      </c>
    </row>
    <row r="424" spans="1:13" x14ac:dyDescent="0.2">
      <c r="A424" s="9">
        <v>43158</v>
      </c>
      <c r="B424">
        <f t="shared" si="24"/>
        <v>27</v>
      </c>
      <c r="C424">
        <f t="shared" si="25"/>
        <v>2</v>
      </c>
      <c r="D424">
        <f t="shared" si="26"/>
        <v>2018</v>
      </c>
      <c r="E424" s="11">
        <v>3.1309999999999998</v>
      </c>
      <c r="F424" s="11">
        <v>101.54900000000001</v>
      </c>
      <c r="G424" s="11">
        <v>27.4</v>
      </c>
      <c r="H424" s="1" t="s">
        <v>0</v>
      </c>
      <c r="I424">
        <v>0</v>
      </c>
      <c r="J424" t="s">
        <v>6</v>
      </c>
      <c r="K424">
        <v>23.7</v>
      </c>
      <c r="L424">
        <v>29</v>
      </c>
      <c r="M424">
        <f t="shared" si="27"/>
        <v>0</v>
      </c>
    </row>
    <row r="425" spans="1:13" x14ac:dyDescent="0.2">
      <c r="A425" s="9">
        <v>43159</v>
      </c>
      <c r="B425">
        <f t="shared" si="24"/>
        <v>28</v>
      </c>
      <c r="C425">
        <f t="shared" si="25"/>
        <v>2</v>
      </c>
      <c r="D425">
        <f t="shared" si="26"/>
        <v>2018</v>
      </c>
      <c r="E425" s="11">
        <v>3.1309999999999998</v>
      </c>
      <c r="F425" s="11">
        <v>101.54900000000001</v>
      </c>
      <c r="G425" s="11">
        <v>27.4</v>
      </c>
      <c r="H425" s="1" t="s">
        <v>0</v>
      </c>
      <c r="I425">
        <v>0</v>
      </c>
      <c r="J425" t="s">
        <v>6</v>
      </c>
      <c r="K425">
        <v>24.3</v>
      </c>
      <c r="L425">
        <v>29.2</v>
      </c>
      <c r="M425">
        <f t="shared" si="27"/>
        <v>0</v>
      </c>
    </row>
    <row r="426" spans="1:13" x14ac:dyDescent="0.2">
      <c r="A426" s="9">
        <v>43160</v>
      </c>
      <c r="B426">
        <f t="shared" si="24"/>
        <v>1</v>
      </c>
      <c r="C426">
        <f t="shared" si="25"/>
        <v>3</v>
      </c>
      <c r="D426">
        <f t="shared" si="26"/>
        <v>2018</v>
      </c>
      <c r="E426" s="11">
        <v>3.1309999999999998</v>
      </c>
      <c r="F426" s="11">
        <v>101.54900000000001</v>
      </c>
      <c r="G426" s="11">
        <v>27.4</v>
      </c>
      <c r="H426" s="1" t="s">
        <v>0</v>
      </c>
      <c r="I426">
        <v>0.5</v>
      </c>
      <c r="J426" t="s">
        <v>6</v>
      </c>
      <c r="K426" t="s">
        <v>6</v>
      </c>
      <c r="L426">
        <v>27.1</v>
      </c>
      <c r="M426">
        <f t="shared" si="27"/>
        <v>1</v>
      </c>
    </row>
    <row r="427" spans="1:13" x14ac:dyDescent="0.2">
      <c r="A427" s="9">
        <v>43161</v>
      </c>
      <c r="B427">
        <f t="shared" si="24"/>
        <v>2</v>
      </c>
      <c r="C427">
        <f t="shared" si="25"/>
        <v>3</v>
      </c>
      <c r="D427">
        <f t="shared" si="26"/>
        <v>2018</v>
      </c>
      <c r="E427" s="11">
        <v>3.1309999999999998</v>
      </c>
      <c r="F427" s="11">
        <v>101.54900000000001</v>
      </c>
      <c r="G427" s="11">
        <v>27.4</v>
      </c>
      <c r="H427" s="1" t="s">
        <v>0</v>
      </c>
      <c r="I427">
        <v>3.3</v>
      </c>
      <c r="J427" t="s">
        <v>6</v>
      </c>
      <c r="K427">
        <v>24.5</v>
      </c>
      <c r="L427">
        <v>28.7</v>
      </c>
      <c r="M427">
        <f t="shared" si="27"/>
        <v>1</v>
      </c>
    </row>
    <row r="428" spans="1:13" x14ac:dyDescent="0.2">
      <c r="A428" s="9">
        <v>43162</v>
      </c>
      <c r="B428">
        <f t="shared" si="24"/>
        <v>3</v>
      </c>
      <c r="C428">
        <f t="shared" si="25"/>
        <v>3</v>
      </c>
      <c r="D428">
        <f t="shared" si="26"/>
        <v>2018</v>
      </c>
      <c r="E428" s="11">
        <v>3.1309999999999998</v>
      </c>
      <c r="F428" s="11">
        <v>101.54900000000001</v>
      </c>
      <c r="G428" s="11">
        <v>27.4</v>
      </c>
      <c r="H428" s="1" t="s">
        <v>0</v>
      </c>
      <c r="I428">
        <v>0</v>
      </c>
      <c r="J428" t="s">
        <v>6</v>
      </c>
      <c r="K428" t="s">
        <v>6</v>
      </c>
      <c r="L428">
        <v>26.8</v>
      </c>
      <c r="M428">
        <f t="shared" si="27"/>
        <v>0</v>
      </c>
    </row>
    <row r="429" spans="1:13" x14ac:dyDescent="0.2">
      <c r="A429" s="9">
        <v>43163</v>
      </c>
      <c r="B429">
        <f t="shared" si="24"/>
        <v>4</v>
      </c>
      <c r="C429">
        <f t="shared" si="25"/>
        <v>3</v>
      </c>
      <c r="D429">
        <f t="shared" si="26"/>
        <v>2018</v>
      </c>
      <c r="E429" s="11">
        <v>3.1309999999999998</v>
      </c>
      <c r="F429" s="11">
        <v>101.54900000000001</v>
      </c>
      <c r="G429" s="11">
        <v>27.4</v>
      </c>
      <c r="H429" s="1" t="s">
        <v>0</v>
      </c>
      <c r="I429">
        <v>8.9</v>
      </c>
      <c r="J429" t="s">
        <v>6</v>
      </c>
      <c r="K429" t="s">
        <v>6</v>
      </c>
      <c r="L429">
        <v>27.8</v>
      </c>
      <c r="M429">
        <f t="shared" si="27"/>
        <v>1</v>
      </c>
    </row>
    <row r="430" spans="1:13" x14ac:dyDescent="0.2">
      <c r="A430" s="9">
        <v>43164</v>
      </c>
      <c r="B430">
        <f t="shared" si="24"/>
        <v>5</v>
      </c>
      <c r="C430">
        <f t="shared" si="25"/>
        <v>3</v>
      </c>
      <c r="D430">
        <f t="shared" si="26"/>
        <v>2018</v>
      </c>
      <c r="E430" s="11">
        <v>3.1309999999999998</v>
      </c>
      <c r="F430" s="11">
        <v>101.54900000000001</v>
      </c>
      <c r="G430" s="11">
        <v>27.4</v>
      </c>
      <c r="H430" s="1" t="s">
        <v>0</v>
      </c>
      <c r="I430">
        <v>3.3</v>
      </c>
      <c r="J430" t="s">
        <v>6</v>
      </c>
      <c r="K430">
        <v>24.4</v>
      </c>
      <c r="L430">
        <v>26.8</v>
      </c>
      <c r="M430">
        <f t="shared" si="27"/>
        <v>1</v>
      </c>
    </row>
    <row r="431" spans="1:13" x14ac:dyDescent="0.2">
      <c r="A431" s="9">
        <v>43165</v>
      </c>
      <c r="B431">
        <f t="shared" si="24"/>
        <v>6</v>
      </c>
      <c r="C431">
        <f t="shared" si="25"/>
        <v>3</v>
      </c>
      <c r="D431">
        <f t="shared" si="26"/>
        <v>2018</v>
      </c>
      <c r="E431" s="11">
        <v>3.1309999999999998</v>
      </c>
      <c r="F431" s="11">
        <v>101.54900000000001</v>
      </c>
      <c r="G431" s="11">
        <v>27.4</v>
      </c>
      <c r="H431" s="1" t="s">
        <v>0</v>
      </c>
      <c r="I431">
        <v>26.4</v>
      </c>
      <c r="J431" t="s">
        <v>6</v>
      </c>
      <c r="K431">
        <v>23.7</v>
      </c>
      <c r="L431">
        <v>27.2</v>
      </c>
      <c r="M431">
        <f t="shared" si="27"/>
        <v>1</v>
      </c>
    </row>
    <row r="432" spans="1:13" x14ac:dyDescent="0.2">
      <c r="A432" s="9">
        <v>43166</v>
      </c>
      <c r="B432">
        <f t="shared" si="24"/>
        <v>7</v>
      </c>
      <c r="C432">
        <f t="shared" si="25"/>
        <v>3</v>
      </c>
      <c r="D432">
        <f t="shared" si="26"/>
        <v>2018</v>
      </c>
      <c r="E432" s="11">
        <v>3.1309999999999998</v>
      </c>
      <c r="F432" s="11">
        <v>101.54900000000001</v>
      </c>
      <c r="G432" s="11">
        <v>27.4</v>
      </c>
      <c r="H432" s="1" t="s">
        <v>0</v>
      </c>
      <c r="I432">
        <v>35.299999999999997</v>
      </c>
      <c r="J432" t="s">
        <v>6</v>
      </c>
      <c r="K432" t="s">
        <v>6</v>
      </c>
      <c r="L432">
        <v>27.1</v>
      </c>
      <c r="M432">
        <f t="shared" si="27"/>
        <v>1</v>
      </c>
    </row>
    <row r="433" spans="1:13" x14ac:dyDescent="0.2">
      <c r="A433" s="9">
        <v>43167</v>
      </c>
      <c r="B433">
        <f t="shared" si="24"/>
        <v>8</v>
      </c>
      <c r="C433">
        <f t="shared" si="25"/>
        <v>3</v>
      </c>
      <c r="D433">
        <f t="shared" si="26"/>
        <v>2018</v>
      </c>
      <c r="E433" s="11">
        <v>3.1309999999999998</v>
      </c>
      <c r="F433" s="11">
        <v>101.54900000000001</v>
      </c>
      <c r="G433" s="11">
        <v>27.4</v>
      </c>
      <c r="H433" s="1" t="s">
        <v>0</v>
      </c>
      <c r="I433">
        <v>7.6</v>
      </c>
      <c r="J433" t="s">
        <v>6</v>
      </c>
      <c r="K433">
        <v>24.1</v>
      </c>
      <c r="L433">
        <v>28.6</v>
      </c>
      <c r="M433">
        <f t="shared" si="27"/>
        <v>1</v>
      </c>
    </row>
    <row r="434" spans="1:13" x14ac:dyDescent="0.2">
      <c r="A434" s="9">
        <v>43168</v>
      </c>
      <c r="B434">
        <f t="shared" si="24"/>
        <v>9</v>
      </c>
      <c r="C434">
        <f t="shared" si="25"/>
        <v>3</v>
      </c>
      <c r="D434">
        <f t="shared" si="26"/>
        <v>2018</v>
      </c>
      <c r="E434" s="11">
        <v>3.1309999999999998</v>
      </c>
      <c r="F434" s="11">
        <v>101.54900000000001</v>
      </c>
      <c r="G434" s="11">
        <v>27.4</v>
      </c>
      <c r="H434" s="1" t="s">
        <v>0</v>
      </c>
      <c r="I434">
        <v>2.2999999999999998</v>
      </c>
      <c r="J434" t="s">
        <v>6</v>
      </c>
      <c r="K434">
        <v>24.7</v>
      </c>
      <c r="L434">
        <v>29.7</v>
      </c>
      <c r="M434">
        <f t="shared" si="27"/>
        <v>1</v>
      </c>
    </row>
    <row r="435" spans="1:13" x14ac:dyDescent="0.2">
      <c r="A435" s="9">
        <v>43169</v>
      </c>
      <c r="B435">
        <f t="shared" si="24"/>
        <v>10</v>
      </c>
      <c r="C435">
        <f t="shared" si="25"/>
        <v>3</v>
      </c>
      <c r="D435">
        <f t="shared" si="26"/>
        <v>2018</v>
      </c>
      <c r="E435" s="11">
        <v>3.1309999999999998</v>
      </c>
      <c r="F435" s="11">
        <v>101.54900000000001</v>
      </c>
      <c r="G435" s="11">
        <v>27.4</v>
      </c>
      <c r="H435" s="1" t="s">
        <v>0</v>
      </c>
      <c r="I435">
        <v>3.3</v>
      </c>
      <c r="J435" t="s">
        <v>6</v>
      </c>
      <c r="K435" t="s">
        <v>6</v>
      </c>
      <c r="L435">
        <v>28.6</v>
      </c>
      <c r="M435">
        <f t="shared" si="27"/>
        <v>1</v>
      </c>
    </row>
    <row r="436" spans="1:13" x14ac:dyDescent="0.2">
      <c r="A436" s="9">
        <v>43170</v>
      </c>
      <c r="B436">
        <f t="shared" si="24"/>
        <v>11</v>
      </c>
      <c r="C436">
        <f t="shared" si="25"/>
        <v>3</v>
      </c>
      <c r="D436">
        <f t="shared" si="26"/>
        <v>2018</v>
      </c>
      <c r="E436" s="11">
        <v>3.1309999999999998</v>
      </c>
      <c r="F436" s="11">
        <v>101.54900000000001</v>
      </c>
      <c r="G436" s="11">
        <v>27.4</v>
      </c>
      <c r="H436" s="1" t="s">
        <v>0</v>
      </c>
      <c r="I436">
        <v>0</v>
      </c>
      <c r="J436" t="s">
        <v>6</v>
      </c>
      <c r="K436">
        <v>23.5</v>
      </c>
      <c r="L436">
        <v>28.4</v>
      </c>
      <c r="M436">
        <f t="shared" si="27"/>
        <v>0</v>
      </c>
    </row>
    <row r="437" spans="1:13" x14ac:dyDescent="0.2">
      <c r="A437" s="9">
        <v>43171</v>
      </c>
      <c r="B437">
        <f t="shared" si="24"/>
        <v>12</v>
      </c>
      <c r="C437">
        <f t="shared" si="25"/>
        <v>3</v>
      </c>
      <c r="D437">
        <f t="shared" si="26"/>
        <v>2018</v>
      </c>
      <c r="E437" s="11">
        <v>3.1309999999999998</v>
      </c>
      <c r="F437" s="11">
        <v>101.54900000000001</v>
      </c>
      <c r="G437" s="11">
        <v>27.4</v>
      </c>
      <c r="H437" s="1" t="s">
        <v>0</v>
      </c>
      <c r="I437">
        <v>0</v>
      </c>
      <c r="J437" t="s">
        <v>6</v>
      </c>
      <c r="K437" t="s">
        <v>6</v>
      </c>
      <c r="L437">
        <v>27.7</v>
      </c>
      <c r="M437">
        <f t="shared" si="27"/>
        <v>0</v>
      </c>
    </row>
    <row r="438" spans="1:13" x14ac:dyDescent="0.2">
      <c r="A438" s="9">
        <v>43172</v>
      </c>
      <c r="B438">
        <f t="shared" si="24"/>
        <v>13</v>
      </c>
      <c r="C438">
        <f t="shared" si="25"/>
        <v>3</v>
      </c>
      <c r="D438">
        <f t="shared" si="26"/>
        <v>2018</v>
      </c>
      <c r="E438" s="11">
        <v>3.1309999999999998</v>
      </c>
      <c r="F438" s="11">
        <v>101.54900000000001</v>
      </c>
      <c r="G438" s="11">
        <v>27.4</v>
      </c>
      <c r="H438" s="1" t="s">
        <v>0</v>
      </c>
      <c r="I438">
        <v>48.3</v>
      </c>
      <c r="J438" t="s">
        <v>6</v>
      </c>
      <c r="K438">
        <v>23</v>
      </c>
      <c r="L438">
        <v>27.2</v>
      </c>
      <c r="M438">
        <f t="shared" si="27"/>
        <v>1</v>
      </c>
    </row>
    <row r="439" spans="1:13" x14ac:dyDescent="0.2">
      <c r="A439" s="9">
        <v>43173</v>
      </c>
      <c r="B439">
        <f t="shared" si="24"/>
        <v>14</v>
      </c>
      <c r="C439">
        <f t="shared" si="25"/>
        <v>3</v>
      </c>
      <c r="D439">
        <f t="shared" si="26"/>
        <v>2018</v>
      </c>
      <c r="E439" s="11">
        <v>3.1309999999999998</v>
      </c>
      <c r="F439" s="11">
        <v>101.54900000000001</v>
      </c>
      <c r="G439" s="11">
        <v>27.4</v>
      </c>
      <c r="H439" s="1" t="s">
        <v>0</v>
      </c>
      <c r="I439">
        <v>0.5</v>
      </c>
      <c r="J439" t="s">
        <v>6</v>
      </c>
      <c r="K439">
        <v>24.8</v>
      </c>
      <c r="L439">
        <v>29.4</v>
      </c>
      <c r="M439">
        <f t="shared" si="27"/>
        <v>1</v>
      </c>
    </row>
    <row r="440" spans="1:13" x14ac:dyDescent="0.2">
      <c r="A440" s="9">
        <v>43174</v>
      </c>
      <c r="B440">
        <f t="shared" si="24"/>
        <v>15</v>
      </c>
      <c r="C440">
        <f t="shared" si="25"/>
        <v>3</v>
      </c>
      <c r="D440">
        <f t="shared" si="26"/>
        <v>2018</v>
      </c>
      <c r="E440" s="11">
        <v>3.1309999999999998</v>
      </c>
      <c r="F440" s="11">
        <v>101.54900000000001</v>
      </c>
      <c r="G440" s="11">
        <v>27.4</v>
      </c>
      <c r="H440" s="1" t="s">
        <v>0</v>
      </c>
      <c r="I440">
        <v>0</v>
      </c>
      <c r="J440" t="s">
        <v>6</v>
      </c>
      <c r="K440" t="s">
        <v>6</v>
      </c>
      <c r="L440">
        <v>28.9</v>
      </c>
      <c r="M440">
        <f t="shared" si="27"/>
        <v>0</v>
      </c>
    </row>
    <row r="441" spans="1:13" x14ac:dyDescent="0.2">
      <c r="A441" s="9">
        <v>43175</v>
      </c>
      <c r="B441">
        <f t="shared" si="24"/>
        <v>16</v>
      </c>
      <c r="C441">
        <f t="shared" si="25"/>
        <v>3</v>
      </c>
      <c r="D441">
        <f t="shared" si="26"/>
        <v>2018</v>
      </c>
      <c r="E441" s="11">
        <v>3.1309999999999998</v>
      </c>
      <c r="F441" s="11">
        <v>101.54900000000001</v>
      </c>
      <c r="G441" s="11">
        <v>27.4</v>
      </c>
      <c r="H441" s="1" t="s">
        <v>0</v>
      </c>
      <c r="I441">
        <v>0</v>
      </c>
      <c r="J441" t="s">
        <v>6</v>
      </c>
      <c r="K441" t="s">
        <v>6</v>
      </c>
      <c r="L441">
        <v>26.7</v>
      </c>
      <c r="M441">
        <f t="shared" si="27"/>
        <v>0</v>
      </c>
    </row>
    <row r="442" spans="1:13" x14ac:dyDescent="0.2">
      <c r="A442" s="9">
        <v>43176</v>
      </c>
      <c r="B442">
        <f t="shared" si="24"/>
        <v>17</v>
      </c>
      <c r="C442">
        <f t="shared" si="25"/>
        <v>3</v>
      </c>
      <c r="D442">
        <f t="shared" si="26"/>
        <v>2018</v>
      </c>
      <c r="E442" s="11">
        <v>3.1309999999999998</v>
      </c>
      <c r="F442" s="11">
        <v>101.54900000000001</v>
      </c>
      <c r="G442" s="11">
        <v>27.4</v>
      </c>
      <c r="H442" s="1" t="s">
        <v>0</v>
      </c>
      <c r="I442">
        <v>5.3</v>
      </c>
      <c r="J442" t="s">
        <v>6</v>
      </c>
      <c r="K442">
        <v>23.8</v>
      </c>
      <c r="L442">
        <v>26.9</v>
      </c>
      <c r="M442">
        <f t="shared" si="27"/>
        <v>1</v>
      </c>
    </row>
    <row r="443" spans="1:13" x14ac:dyDescent="0.2">
      <c r="A443" s="9">
        <v>43177</v>
      </c>
      <c r="B443">
        <f t="shared" si="24"/>
        <v>18</v>
      </c>
      <c r="C443">
        <f t="shared" si="25"/>
        <v>3</v>
      </c>
      <c r="D443">
        <f t="shared" si="26"/>
        <v>2018</v>
      </c>
      <c r="E443" s="11">
        <v>3.1309999999999998</v>
      </c>
      <c r="F443" s="11">
        <v>101.54900000000001</v>
      </c>
      <c r="G443" s="11">
        <v>27.4</v>
      </c>
      <c r="H443" s="1" t="s">
        <v>0</v>
      </c>
      <c r="I443">
        <v>49</v>
      </c>
      <c r="J443" t="s">
        <v>6</v>
      </c>
      <c r="K443">
        <v>24.1</v>
      </c>
      <c r="L443">
        <v>27.4</v>
      </c>
      <c r="M443">
        <f t="shared" si="27"/>
        <v>1</v>
      </c>
    </row>
    <row r="444" spans="1:13" x14ac:dyDescent="0.2">
      <c r="A444" s="9">
        <v>43178</v>
      </c>
      <c r="B444">
        <f t="shared" si="24"/>
        <v>19</v>
      </c>
      <c r="C444">
        <f t="shared" si="25"/>
        <v>3</v>
      </c>
      <c r="D444">
        <f t="shared" si="26"/>
        <v>2018</v>
      </c>
      <c r="E444" s="11">
        <v>3.1309999999999998</v>
      </c>
      <c r="F444" s="11">
        <v>101.54900000000001</v>
      </c>
      <c r="G444" s="11">
        <v>27.4</v>
      </c>
      <c r="H444" s="1" t="s">
        <v>0</v>
      </c>
      <c r="I444">
        <v>7.6</v>
      </c>
      <c r="J444" t="s">
        <v>6</v>
      </c>
      <c r="K444">
        <v>24.7</v>
      </c>
      <c r="L444">
        <v>27.6</v>
      </c>
      <c r="M444">
        <f t="shared" si="27"/>
        <v>1</v>
      </c>
    </row>
    <row r="445" spans="1:13" x14ac:dyDescent="0.2">
      <c r="A445" s="9">
        <v>43179</v>
      </c>
      <c r="B445">
        <f t="shared" si="24"/>
        <v>20</v>
      </c>
      <c r="C445">
        <f t="shared" si="25"/>
        <v>3</v>
      </c>
      <c r="D445">
        <f t="shared" si="26"/>
        <v>2018</v>
      </c>
      <c r="E445" s="11">
        <v>3.1309999999999998</v>
      </c>
      <c r="F445" s="11">
        <v>101.54900000000001</v>
      </c>
      <c r="G445" s="11">
        <v>27.4</v>
      </c>
      <c r="H445" s="1" t="s">
        <v>0</v>
      </c>
      <c r="I445">
        <v>2.2999999999999998</v>
      </c>
      <c r="J445" t="s">
        <v>6</v>
      </c>
      <c r="K445" t="s">
        <v>6</v>
      </c>
      <c r="L445">
        <v>26.5</v>
      </c>
      <c r="M445">
        <f t="shared" si="27"/>
        <v>1</v>
      </c>
    </row>
    <row r="446" spans="1:13" x14ac:dyDescent="0.2">
      <c r="A446" s="9">
        <v>43180</v>
      </c>
      <c r="B446">
        <f t="shared" si="24"/>
        <v>21</v>
      </c>
      <c r="C446">
        <f t="shared" si="25"/>
        <v>3</v>
      </c>
      <c r="D446">
        <f t="shared" si="26"/>
        <v>2018</v>
      </c>
      <c r="E446" s="11">
        <v>3.1309999999999998</v>
      </c>
      <c r="F446" s="11">
        <v>101.54900000000001</v>
      </c>
      <c r="G446" s="11">
        <v>27.4</v>
      </c>
      <c r="H446" s="1" t="s">
        <v>0</v>
      </c>
      <c r="I446">
        <v>52.3</v>
      </c>
      <c r="J446" t="s">
        <v>6</v>
      </c>
      <c r="K446">
        <v>23.6</v>
      </c>
      <c r="L446">
        <v>28.6</v>
      </c>
      <c r="M446">
        <f t="shared" si="27"/>
        <v>1</v>
      </c>
    </row>
    <row r="447" spans="1:13" x14ac:dyDescent="0.2">
      <c r="A447" s="9">
        <v>43181</v>
      </c>
      <c r="B447">
        <f t="shared" si="24"/>
        <v>22</v>
      </c>
      <c r="C447">
        <f t="shared" si="25"/>
        <v>3</v>
      </c>
      <c r="D447">
        <f t="shared" si="26"/>
        <v>2018</v>
      </c>
      <c r="E447" s="11">
        <v>3.1309999999999998</v>
      </c>
      <c r="F447" s="11">
        <v>101.54900000000001</v>
      </c>
      <c r="G447" s="11">
        <v>27.4</v>
      </c>
      <c r="H447" s="1" t="s">
        <v>0</v>
      </c>
      <c r="I447">
        <v>0</v>
      </c>
      <c r="J447" t="s">
        <v>6</v>
      </c>
      <c r="K447" t="s">
        <v>6</v>
      </c>
      <c r="L447">
        <v>27</v>
      </c>
      <c r="M447">
        <f t="shared" si="27"/>
        <v>0</v>
      </c>
    </row>
    <row r="448" spans="1:13" x14ac:dyDescent="0.2">
      <c r="A448" s="9">
        <v>43182</v>
      </c>
      <c r="B448">
        <f t="shared" si="24"/>
        <v>23</v>
      </c>
      <c r="C448">
        <f t="shared" si="25"/>
        <v>3</v>
      </c>
      <c r="D448">
        <f t="shared" si="26"/>
        <v>2018</v>
      </c>
      <c r="E448" s="11">
        <v>3.1309999999999998</v>
      </c>
      <c r="F448" s="11">
        <v>101.54900000000001</v>
      </c>
      <c r="G448" s="11">
        <v>27.4</v>
      </c>
      <c r="H448" s="1" t="s">
        <v>0</v>
      </c>
      <c r="I448">
        <v>2</v>
      </c>
      <c r="J448" t="s">
        <v>6</v>
      </c>
      <c r="K448">
        <v>23.5</v>
      </c>
      <c r="L448">
        <v>28.6</v>
      </c>
      <c r="M448">
        <f t="shared" si="27"/>
        <v>1</v>
      </c>
    </row>
    <row r="449" spans="1:13" x14ac:dyDescent="0.2">
      <c r="A449" s="9">
        <v>43183</v>
      </c>
      <c r="B449">
        <f t="shared" si="24"/>
        <v>24</v>
      </c>
      <c r="C449">
        <f t="shared" si="25"/>
        <v>3</v>
      </c>
      <c r="D449">
        <f t="shared" si="26"/>
        <v>2018</v>
      </c>
      <c r="E449" s="11">
        <v>3.1309999999999998</v>
      </c>
      <c r="F449" s="11">
        <v>101.54900000000001</v>
      </c>
      <c r="G449" s="11">
        <v>27.4</v>
      </c>
      <c r="H449" s="1" t="s">
        <v>0</v>
      </c>
      <c r="I449">
        <v>0.3</v>
      </c>
      <c r="J449" t="s">
        <v>6</v>
      </c>
      <c r="K449" t="s">
        <v>6</v>
      </c>
      <c r="L449">
        <v>28.9</v>
      </c>
      <c r="M449">
        <f t="shared" si="27"/>
        <v>1</v>
      </c>
    </row>
    <row r="450" spans="1:13" x14ac:dyDescent="0.2">
      <c r="A450" s="9">
        <v>43184</v>
      </c>
      <c r="B450">
        <f t="shared" si="24"/>
        <v>25</v>
      </c>
      <c r="C450">
        <f t="shared" si="25"/>
        <v>3</v>
      </c>
      <c r="D450">
        <f t="shared" si="26"/>
        <v>2018</v>
      </c>
      <c r="E450" s="11">
        <v>3.1309999999999998</v>
      </c>
      <c r="F450" s="11">
        <v>101.54900000000001</v>
      </c>
      <c r="G450" s="11">
        <v>27.4</v>
      </c>
      <c r="H450" s="1" t="s">
        <v>0</v>
      </c>
      <c r="I450">
        <v>0</v>
      </c>
      <c r="J450" t="s">
        <v>6</v>
      </c>
      <c r="K450">
        <v>24.3</v>
      </c>
      <c r="L450">
        <v>28.6</v>
      </c>
      <c r="M450">
        <f t="shared" si="27"/>
        <v>0</v>
      </c>
    </row>
    <row r="451" spans="1:13" x14ac:dyDescent="0.2">
      <c r="A451" s="9">
        <v>43185</v>
      </c>
      <c r="B451">
        <f t="shared" ref="B451:B514" si="28">DAY(A451)</f>
        <v>26</v>
      </c>
      <c r="C451">
        <f t="shared" ref="C451:C514" si="29">MONTH(A451)</f>
        <v>3</v>
      </c>
      <c r="D451">
        <f t="shared" ref="D451:D514" si="30">YEAR(A451)</f>
        <v>2018</v>
      </c>
      <c r="E451" s="11">
        <v>3.1309999999999998</v>
      </c>
      <c r="F451" s="11">
        <v>101.54900000000001</v>
      </c>
      <c r="G451" s="11">
        <v>27.4</v>
      </c>
      <c r="H451" s="1" t="s">
        <v>0</v>
      </c>
      <c r="I451">
        <v>0.3</v>
      </c>
      <c r="J451" t="s">
        <v>6</v>
      </c>
      <c r="K451" t="s">
        <v>6</v>
      </c>
      <c r="L451">
        <v>27.2</v>
      </c>
      <c r="M451">
        <f t="shared" ref="M451:M514" si="31">IF(ISNUMBER(I451), IF(I451&gt;0, 1, 0), "")</f>
        <v>1</v>
      </c>
    </row>
    <row r="452" spans="1:13" x14ac:dyDescent="0.2">
      <c r="A452" s="9">
        <v>43186</v>
      </c>
      <c r="B452">
        <f t="shared" si="28"/>
        <v>27</v>
      </c>
      <c r="C452">
        <f t="shared" si="29"/>
        <v>3</v>
      </c>
      <c r="D452">
        <f t="shared" si="30"/>
        <v>2018</v>
      </c>
      <c r="E452" s="11">
        <v>3.1309999999999998</v>
      </c>
      <c r="F452" s="11">
        <v>101.54900000000001</v>
      </c>
      <c r="G452" s="11">
        <v>27.4</v>
      </c>
      <c r="H452" s="1" t="s">
        <v>0</v>
      </c>
      <c r="I452">
        <v>73.400000000000006</v>
      </c>
      <c r="J452" t="s">
        <v>6</v>
      </c>
      <c r="K452" t="s">
        <v>6</v>
      </c>
      <c r="L452">
        <v>25.6</v>
      </c>
      <c r="M452">
        <f t="shared" si="31"/>
        <v>1</v>
      </c>
    </row>
    <row r="453" spans="1:13" x14ac:dyDescent="0.2">
      <c r="A453" s="9">
        <v>43187</v>
      </c>
      <c r="B453">
        <f t="shared" si="28"/>
        <v>28</v>
      </c>
      <c r="C453">
        <f t="shared" si="29"/>
        <v>3</v>
      </c>
      <c r="D453">
        <f t="shared" si="30"/>
        <v>2018</v>
      </c>
      <c r="E453" s="11">
        <v>3.1309999999999998</v>
      </c>
      <c r="F453" s="11">
        <v>101.54900000000001</v>
      </c>
      <c r="G453" s="11">
        <v>27.4</v>
      </c>
      <c r="H453" s="1" t="s">
        <v>0</v>
      </c>
      <c r="I453">
        <v>11.2</v>
      </c>
      <c r="J453" t="s">
        <v>6</v>
      </c>
      <c r="K453">
        <v>23.2</v>
      </c>
      <c r="L453">
        <v>29</v>
      </c>
      <c r="M453">
        <f t="shared" si="31"/>
        <v>1</v>
      </c>
    </row>
    <row r="454" spans="1:13" x14ac:dyDescent="0.2">
      <c r="A454" s="9">
        <v>43188</v>
      </c>
      <c r="B454">
        <f t="shared" si="28"/>
        <v>29</v>
      </c>
      <c r="C454">
        <f t="shared" si="29"/>
        <v>3</v>
      </c>
      <c r="D454">
        <f t="shared" si="30"/>
        <v>2018</v>
      </c>
      <c r="E454" s="11">
        <v>3.1309999999999998</v>
      </c>
      <c r="F454" s="11">
        <v>101.54900000000001</v>
      </c>
      <c r="G454" s="11">
        <v>27.4</v>
      </c>
      <c r="H454" s="1" t="s">
        <v>0</v>
      </c>
      <c r="I454">
        <v>0</v>
      </c>
      <c r="J454" t="s">
        <v>6</v>
      </c>
      <c r="K454">
        <v>25</v>
      </c>
      <c r="L454">
        <v>28.9</v>
      </c>
      <c r="M454">
        <f t="shared" si="31"/>
        <v>0</v>
      </c>
    </row>
    <row r="455" spans="1:13" x14ac:dyDescent="0.2">
      <c r="A455" s="9">
        <v>43189</v>
      </c>
      <c r="B455">
        <f t="shared" si="28"/>
        <v>30</v>
      </c>
      <c r="C455">
        <f t="shared" si="29"/>
        <v>3</v>
      </c>
      <c r="D455">
        <f t="shared" si="30"/>
        <v>2018</v>
      </c>
      <c r="E455" s="11">
        <v>3.1309999999999998</v>
      </c>
      <c r="F455" s="11">
        <v>101.54900000000001</v>
      </c>
      <c r="G455" s="11">
        <v>27.4</v>
      </c>
      <c r="H455" s="1" t="s">
        <v>0</v>
      </c>
      <c r="I455">
        <v>0</v>
      </c>
      <c r="J455" t="s">
        <v>6</v>
      </c>
      <c r="K455">
        <v>25.4</v>
      </c>
      <c r="L455">
        <v>29.7</v>
      </c>
      <c r="M455">
        <f t="shared" si="31"/>
        <v>0</v>
      </c>
    </row>
    <row r="456" spans="1:13" x14ac:dyDescent="0.2">
      <c r="A456" s="9">
        <v>43190</v>
      </c>
      <c r="B456">
        <f t="shared" si="28"/>
        <v>31</v>
      </c>
      <c r="C456">
        <f t="shared" si="29"/>
        <v>3</v>
      </c>
      <c r="D456">
        <f t="shared" si="30"/>
        <v>2018</v>
      </c>
      <c r="E456" s="11">
        <v>3.1309999999999998</v>
      </c>
      <c r="F456" s="11">
        <v>101.54900000000001</v>
      </c>
      <c r="G456" s="11">
        <v>27.4</v>
      </c>
      <c r="H456" s="1" t="s">
        <v>0</v>
      </c>
      <c r="I456">
        <v>0.5</v>
      </c>
      <c r="J456" t="s">
        <v>6</v>
      </c>
      <c r="K456" t="s">
        <v>6</v>
      </c>
      <c r="L456">
        <v>27.9</v>
      </c>
      <c r="M456">
        <f t="shared" si="31"/>
        <v>1</v>
      </c>
    </row>
    <row r="457" spans="1:13" x14ac:dyDescent="0.2">
      <c r="A457" s="9">
        <v>43191</v>
      </c>
      <c r="B457">
        <f t="shared" si="28"/>
        <v>1</v>
      </c>
      <c r="C457">
        <f t="shared" si="29"/>
        <v>4</v>
      </c>
      <c r="D457">
        <f t="shared" si="30"/>
        <v>2018</v>
      </c>
      <c r="E457" s="11">
        <v>3.1309999999999998</v>
      </c>
      <c r="F457" s="11">
        <v>101.54900000000001</v>
      </c>
      <c r="G457" s="11">
        <v>27.4</v>
      </c>
      <c r="H457" s="1" t="s">
        <v>0</v>
      </c>
      <c r="I457">
        <v>8.1</v>
      </c>
      <c r="J457" t="s">
        <v>6</v>
      </c>
      <c r="K457" t="s">
        <v>6</v>
      </c>
      <c r="L457">
        <v>28.2</v>
      </c>
      <c r="M457">
        <f t="shared" si="31"/>
        <v>1</v>
      </c>
    </row>
    <row r="458" spans="1:13" x14ac:dyDescent="0.2">
      <c r="A458" s="9">
        <v>43192</v>
      </c>
      <c r="B458">
        <f t="shared" si="28"/>
        <v>2</v>
      </c>
      <c r="C458">
        <f t="shared" si="29"/>
        <v>4</v>
      </c>
      <c r="D458">
        <f t="shared" si="30"/>
        <v>2018</v>
      </c>
      <c r="E458" s="11">
        <v>3.1309999999999998</v>
      </c>
      <c r="F458" s="11">
        <v>101.54900000000001</v>
      </c>
      <c r="G458" s="11">
        <v>27.4</v>
      </c>
      <c r="H458" s="1" t="s">
        <v>0</v>
      </c>
      <c r="I458">
        <v>6.4</v>
      </c>
      <c r="J458" t="s">
        <v>6</v>
      </c>
      <c r="K458">
        <v>25.3</v>
      </c>
      <c r="L458">
        <v>28.9</v>
      </c>
      <c r="M458">
        <f t="shared" si="31"/>
        <v>1</v>
      </c>
    </row>
    <row r="459" spans="1:13" x14ac:dyDescent="0.2">
      <c r="A459" s="9">
        <v>43193</v>
      </c>
      <c r="B459">
        <f t="shared" si="28"/>
        <v>3</v>
      </c>
      <c r="C459">
        <f t="shared" si="29"/>
        <v>4</v>
      </c>
      <c r="D459">
        <f t="shared" si="30"/>
        <v>2018</v>
      </c>
      <c r="E459" s="11">
        <v>3.1309999999999998</v>
      </c>
      <c r="F459" s="11">
        <v>101.54900000000001</v>
      </c>
      <c r="G459" s="11">
        <v>27.4</v>
      </c>
      <c r="H459" s="1" t="s">
        <v>0</v>
      </c>
      <c r="I459">
        <v>0</v>
      </c>
      <c r="J459" t="s">
        <v>6</v>
      </c>
      <c r="K459" t="s">
        <v>6</v>
      </c>
      <c r="L459">
        <v>27.3</v>
      </c>
      <c r="M459">
        <f t="shared" si="31"/>
        <v>0</v>
      </c>
    </row>
    <row r="460" spans="1:13" x14ac:dyDescent="0.2">
      <c r="A460" s="9">
        <v>43194</v>
      </c>
      <c r="B460">
        <f t="shared" si="28"/>
        <v>4</v>
      </c>
      <c r="C460">
        <f t="shared" si="29"/>
        <v>4</v>
      </c>
      <c r="D460">
        <f t="shared" si="30"/>
        <v>2018</v>
      </c>
      <c r="E460" s="11">
        <v>3.1309999999999998</v>
      </c>
      <c r="F460" s="11">
        <v>101.54900000000001</v>
      </c>
      <c r="G460" s="11">
        <v>27.4</v>
      </c>
      <c r="H460" s="1" t="s">
        <v>0</v>
      </c>
      <c r="I460">
        <v>3</v>
      </c>
      <c r="J460" t="s">
        <v>6</v>
      </c>
      <c r="K460">
        <v>24.4</v>
      </c>
      <c r="L460">
        <v>28.3</v>
      </c>
      <c r="M460">
        <f t="shared" si="31"/>
        <v>1</v>
      </c>
    </row>
    <row r="461" spans="1:13" x14ac:dyDescent="0.2">
      <c r="A461" s="9">
        <v>43195</v>
      </c>
      <c r="B461">
        <f t="shared" si="28"/>
        <v>5</v>
      </c>
      <c r="C461">
        <f t="shared" si="29"/>
        <v>4</v>
      </c>
      <c r="D461">
        <f t="shared" si="30"/>
        <v>2018</v>
      </c>
      <c r="E461" s="11">
        <v>3.1309999999999998</v>
      </c>
      <c r="F461" s="11">
        <v>101.54900000000001</v>
      </c>
      <c r="G461" s="11">
        <v>27.4</v>
      </c>
      <c r="H461" s="1" t="s">
        <v>0</v>
      </c>
      <c r="I461">
        <v>8.9</v>
      </c>
      <c r="J461" t="s">
        <v>6</v>
      </c>
      <c r="K461">
        <v>24.6</v>
      </c>
      <c r="L461">
        <v>29.7</v>
      </c>
      <c r="M461">
        <f t="shared" si="31"/>
        <v>1</v>
      </c>
    </row>
    <row r="462" spans="1:13" x14ac:dyDescent="0.2">
      <c r="A462" s="9">
        <v>43196</v>
      </c>
      <c r="B462">
        <f t="shared" si="28"/>
        <v>6</v>
      </c>
      <c r="C462">
        <f t="shared" si="29"/>
        <v>4</v>
      </c>
      <c r="D462">
        <f t="shared" si="30"/>
        <v>2018</v>
      </c>
      <c r="E462" s="11">
        <v>3.1309999999999998</v>
      </c>
      <c r="F462" s="11">
        <v>101.54900000000001</v>
      </c>
      <c r="G462" s="11">
        <v>27.4</v>
      </c>
      <c r="H462" s="1" t="s">
        <v>0</v>
      </c>
      <c r="I462">
        <v>0</v>
      </c>
      <c r="J462" t="s">
        <v>6</v>
      </c>
      <c r="K462">
        <v>24.9</v>
      </c>
      <c r="L462">
        <v>27.8</v>
      </c>
      <c r="M462">
        <f t="shared" si="31"/>
        <v>0</v>
      </c>
    </row>
    <row r="463" spans="1:13" x14ac:dyDescent="0.2">
      <c r="A463" s="9">
        <v>43197</v>
      </c>
      <c r="B463">
        <f t="shared" si="28"/>
        <v>7</v>
      </c>
      <c r="C463">
        <f t="shared" si="29"/>
        <v>4</v>
      </c>
      <c r="D463">
        <f t="shared" si="30"/>
        <v>2018</v>
      </c>
      <c r="E463" s="11">
        <v>3.1309999999999998</v>
      </c>
      <c r="F463" s="11">
        <v>101.54900000000001</v>
      </c>
      <c r="G463" s="11">
        <v>27.4</v>
      </c>
      <c r="H463" s="1" t="s">
        <v>0</v>
      </c>
      <c r="I463">
        <v>0</v>
      </c>
      <c r="J463" t="s">
        <v>6</v>
      </c>
      <c r="K463" t="s">
        <v>6</v>
      </c>
      <c r="L463">
        <v>27.3</v>
      </c>
      <c r="M463">
        <f t="shared" si="31"/>
        <v>0</v>
      </c>
    </row>
    <row r="464" spans="1:13" x14ac:dyDescent="0.2">
      <c r="A464" s="9">
        <v>43198</v>
      </c>
      <c r="B464">
        <f t="shared" si="28"/>
        <v>8</v>
      </c>
      <c r="C464">
        <f t="shared" si="29"/>
        <v>4</v>
      </c>
      <c r="D464">
        <f t="shared" si="30"/>
        <v>2018</v>
      </c>
      <c r="E464" s="11">
        <v>3.1309999999999998</v>
      </c>
      <c r="F464" s="11">
        <v>101.54900000000001</v>
      </c>
      <c r="G464" s="11">
        <v>27.4</v>
      </c>
      <c r="H464" s="1" t="s">
        <v>0</v>
      </c>
      <c r="I464">
        <v>4.5999999999999996</v>
      </c>
      <c r="J464" t="s">
        <v>6</v>
      </c>
      <c r="K464">
        <v>24</v>
      </c>
      <c r="L464">
        <v>29.2</v>
      </c>
      <c r="M464">
        <f t="shared" si="31"/>
        <v>1</v>
      </c>
    </row>
    <row r="465" spans="1:13" x14ac:dyDescent="0.2">
      <c r="A465" s="9">
        <v>43199</v>
      </c>
      <c r="B465">
        <f t="shared" si="28"/>
        <v>9</v>
      </c>
      <c r="C465">
        <f t="shared" si="29"/>
        <v>4</v>
      </c>
      <c r="D465">
        <f t="shared" si="30"/>
        <v>2018</v>
      </c>
      <c r="E465" s="11">
        <v>3.1309999999999998</v>
      </c>
      <c r="F465" s="11">
        <v>101.54900000000001</v>
      </c>
      <c r="G465" s="11">
        <v>27.4</v>
      </c>
      <c r="H465" s="1" t="s">
        <v>0</v>
      </c>
      <c r="I465">
        <v>0</v>
      </c>
      <c r="J465" t="s">
        <v>6</v>
      </c>
      <c r="K465">
        <v>25</v>
      </c>
      <c r="L465">
        <v>30</v>
      </c>
      <c r="M465">
        <f t="shared" si="31"/>
        <v>0</v>
      </c>
    </row>
    <row r="466" spans="1:13" x14ac:dyDescent="0.2">
      <c r="A466" s="9">
        <v>43200</v>
      </c>
      <c r="B466">
        <f t="shared" si="28"/>
        <v>10</v>
      </c>
      <c r="C466">
        <f t="shared" si="29"/>
        <v>4</v>
      </c>
      <c r="D466">
        <f t="shared" si="30"/>
        <v>2018</v>
      </c>
      <c r="E466" s="11">
        <v>3.1309999999999998</v>
      </c>
      <c r="F466" s="11">
        <v>101.54900000000001</v>
      </c>
      <c r="G466" s="11">
        <v>27.4</v>
      </c>
      <c r="H466" s="1" t="s">
        <v>0</v>
      </c>
      <c r="I466">
        <v>0</v>
      </c>
      <c r="J466" t="s">
        <v>6</v>
      </c>
      <c r="K466">
        <v>25.6</v>
      </c>
      <c r="L466">
        <v>29.6</v>
      </c>
      <c r="M466">
        <f t="shared" si="31"/>
        <v>0</v>
      </c>
    </row>
    <row r="467" spans="1:13" x14ac:dyDescent="0.2">
      <c r="A467" s="9">
        <v>43201</v>
      </c>
      <c r="B467">
        <f t="shared" si="28"/>
        <v>11</v>
      </c>
      <c r="C467">
        <f t="shared" si="29"/>
        <v>4</v>
      </c>
      <c r="D467">
        <f t="shared" si="30"/>
        <v>2018</v>
      </c>
      <c r="E467" s="11">
        <v>3.1309999999999998</v>
      </c>
      <c r="F467" s="11">
        <v>101.54900000000001</v>
      </c>
      <c r="G467" s="11">
        <v>27.4</v>
      </c>
      <c r="H467" s="1" t="s">
        <v>0</v>
      </c>
      <c r="I467">
        <v>0</v>
      </c>
      <c r="J467" t="s">
        <v>6</v>
      </c>
      <c r="K467">
        <v>25.7</v>
      </c>
      <c r="L467">
        <v>30.9</v>
      </c>
      <c r="M467">
        <f t="shared" si="31"/>
        <v>0</v>
      </c>
    </row>
    <row r="468" spans="1:13" x14ac:dyDescent="0.2">
      <c r="A468" s="9">
        <v>43202</v>
      </c>
      <c r="B468">
        <f t="shared" si="28"/>
        <v>12</v>
      </c>
      <c r="C468">
        <f t="shared" si="29"/>
        <v>4</v>
      </c>
      <c r="D468">
        <f t="shared" si="30"/>
        <v>2018</v>
      </c>
      <c r="E468" s="11">
        <v>3.1309999999999998</v>
      </c>
      <c r="F468" s="11">
        <v>101.54900000000001</v>
      </c>
      <c r="G468" s="11">
        <v>27.4</v>
      </c>
      <c r="H468" s="1" t="s">
        <v>0</v>
      </c>
      <c r="I468">
        <v>0</v>
      </c>
      <c r="J468" t="s">
        <v>6</v>
      </c>
      <c r="K468" t="s">
        <v>6</v>
      </c>
      <c r="L468">
        <v>29.3</v>
      </c>
      <c r="M468">
        <f t="shared" si="31"/>
        <v>0</v>
      </c>
    </row>
    <row r="469" spans="1:13" x14ac:dyDescent="0.2">
      <c r="A469" s="9">
        <v>43203</v>
      </c>
      <c r="B469">
        <f t="shared" si="28"/>
        <v>13</v>
      </c>
      <c r="C469">
        <f t="shared" si="29"/>
        <v>4</v>
      </c>
      <c r="D469">
        <f t="shared" si="30"/>
        <v>2018</v>
      </c>
      <c r="E469" s="11">
        <v>3.1309999999999998</v>
      </c>
      <c r="F469" s="11">
        <v>101.54900000000001</v>
      </c>
      <c r="G469" s="11">
        <v>27.4</v>
      </c>
      <c r="H469" s="1" t="s">
        <v>0</v>
      </c>
      <c r="I469">
        <v>6.1</v>
      </c>
      <c r="J469" t="s">
        <v>6</v>
      </c>
      <c r="K469" t="s">
        <v>6</v>
      </c>
      <c r="L469">
        <v>29.1</v>
      </c>
      <c r="M469">
        <f t="shared" si="31"/>
        <v>1</v>
      </c>
    </row>
    <row r="470" spans="1:13" x14ac:dyDescent="0.2">
      <c r="A470" s="9">
        <v>43204</v>
      </c>
      <c r="B470">
        <f t="shared" si="28"/>
        <v>14</v>
      </c>
      <c r="C470">
        <f t="shared" si="29"/>
        <v>4</v>
      </c>
      <c r="D470">
        <f t="shared" si="30"/>
        <v>2018</v>
      </c>
      <c r="E470" s="11">
        <v>3.1309999999999998</v>
      </c>
      <c r="F470" s="11">
        <v>101.54900000000001</v>
      </c>
      <c r="G470" s="11">
        <v>27.4</v>
      </c>
      <c r="H470" s="1" t="s">
        <v>0</v>
      </c>
      <c r="I470">
        <v>5.3</v>
      </c>
      <c r="J470" t="s">
        <v>6</v>
      </c>
      <c r="K470" t="s">
        <v>6</v>
      </c>
      <c r="L470">
        <v>28.4</v>
      </c>
      <c r="M470">
        <f t="shared" si="31"/>
        <v>1</v>
      </c>
    </row>
    <row r="471" spans="1:13" x14ac:dyDescent="0.2">
      <c r="A471" s="9">
        <v>43205</v>
      </c>
      <c r="B471">
        <f t="shared" si="28"/>
        <v>15</v>
      </c>
      <c r="C471">
        <f t="shared" si="29"/>
        <v>4</v>
      </c>
      <c r="D471">
        <f t="shared" si="30"/>
        <v>2018</v>
      </c>
      <c r="E471" s="11">
        <v>3.1309999999999998</v>
      </c>
      <c r="F471" s="11">
        <v>101.54900000000001</v>
      </c>
      <c r="G471" s="11">
        <v>27.4</v>
      </c>
      <c r="H471" s="1" t="s">
        <v>0</v>
      </c>
      <c r="I471">
        <v>0</v>
      </c>
      <c r="J471" t="s">
        <v>6</v>
      </c>
      <c r="K471" t="s">
        <v>6</v>
      </c>
      <c r="L471">
        <v>27.9</v>
      </c>
      <c r="M471">
        <f t="shared" si="31"/>
        <v>0</v>
      </c>
    </row>
    <row r="472" spans="1:13" x14ac:dyDescent="0.2">
      <c r="A472" s="9">
        <v>43206</v>
      </c>
      <c r="B472">
        <f t="shared" si="28"/>
        <v>16</v>
      </c>
      <c r="C472">
        <f t="shared" si="29"/>
        <v>4</v>
      </c>
      <c r="D472">
        <f t="shared" si="30"/>
        <v>2018</v>
      </c>
      <c r="E472" s="11">
        <v>3.1309999999999998</v>
      </c>
      <c r="F472" s="11">
        <v>101.54900000000001</v>
      </c>
      <c r="G472" s="11">
        <v>27.4</v>
      </c>
      <c r="H472" s="1" t="s">
        <v>0</v>
      </c>
      <c r="I472">
        <v>32</v>
      </c>
      <c r="J472" t="s">
        <v>6</v>
      </c>
      <c r="K472">
        <v>24.5</v>
      </c>
      <c r="L472">
        <v>26.4</v>
      </c>
      <c r="M472">
        <f t="shared" si="31"/>
        <v>1</v>
      </c>
    </row>
    <row r="473" spans="1:13" x14ac:dyDescent="0.2">
      <c r="A473" s="9">
        <v>43207</v>
      </c>
      <c r="B473">
        <f t="shared" si="28"/>
        <v>17</v>
      </c>
      <c r="C473">
        <f t="shared" si="29"/>
        <v>4</v>
      </c>
      <c r="D473">
        <f t="shared" si="30"/>
        <v>2018</v>
      </c>
      <c r="E473" s="11">
        <v>3.1309999999999998</v>
      </c>
      <c r="F473" s="11">
        <v>101.54900000000001</v>
      </c>
      <c r="G473" s="11">
        <v>27.4</v>
      </c>
      <c r="H473" s="1" t="s">
        <v>0</v>
      </c>
      <c r="I473">
        <v>22.9</v>
      </c>
      <c r="J473" t="s">
        <v>6</v>
      </c>
      <c r="K473">
        <v>24.5</v>
      </c>
      <c r="L473">
        <v>27.2</v>
      </c>
      <c r="M473">
        <f t="shared" si="31"/>
        <v>1</v>
      </c>
    </row>
    <row r="474" spans="1:13" x14ac:dyDescent="0.2">
      <c r="A474" s="9">
        <v>43208</v>
      </c>
      <c r="B474">
        <f t="shared" si="28"/>
        <v>18</v>
      </c>
      <c r="C474">
        <f t="shared" si="29"/>
        <v>4</v>
      </c>
      <c r="D474">
        <f t="shared" si="30"/>
        <v>2018</v>
      </c>
      <c r="E474" s="11">
        <v>3.1309999999999998</v>
      </c>
      <c r="F474" s="11">
        <v>101.54900000000001</v>
      </c>
      <c r="G474" s="11">
        <v>27.4</v>
      </c>
      <c r="H474" s="1" t="s">
        <v>0</v>
      </c>
      <c r="I474">
        <v>2.5</v>
      </c>
      <c r="J474" t="s">
        <v>6</v>
      </c>
      <c r="K474" t="s">
        <v>6</v>
      </c>
      <c r="L474">
        <v>27.3</v>
      </c>
      <c r="M474">
        <f t="shared" si="31"/>
        <v>1</v>
      </c>
    </row>
    <row r="475" spans="1:13" x14ac:dyDescent="0.2">
      <c r="A475" s="9">
        <v>43209</v>
      </c>
      <c r="B475">
        <f t="shared" si="28"/>
        <v>19</v>
      </c>
      <c r="C475">
        <f t="shared" si="29"/>
        <v>4</v>
      </c>
      <c r="D475">
        <f t="shared" si="30"/>
        <v>2018</v>
      </c>
      <c r="E475" s="11">
        <v>3.1309999999999998</v>
      </c>
      <c r="F475" s="11">
        <v>101.54900000000001</v>
      </c>
      <c r="G475" s="11">
        <v>27.4</v>
      </c>
      <c r="H475" s="1" t="s">
        <v>0</v>
      </c>
      <c r="I475">
        <v>1.5</v>
      </c>
      <c r="J475" t="s">
        <v>6</v>
      </c>
      <c r="K475" t="s">
        <v>6</v>
      </c>
      <c r="L475">
        <v>27.1</v>
      </c>
      <c r="M475">
        <f t="shared" si="31"/>
        <v>1</v>
      </c>
    </row>
    <row r="476" spans="1:13" x14ac:dyDescent="0.2">
      <c r="A476" s="9">
        <v>43210</v>
      </c>
      <c r="B476">
        <f t="shared" si="28"/>
        <v>20</v>
      </c>
      <c r="C476">
        <f t="shared" si="29"/>
        <v>4</v>
      </c>
      <c r="D476">
        <f t="shared" si="30"/>
        <v>2018</v>
      </c>
      <c r="E476" s="11">
        <v>3.1309999999999998</v>
      </c>
      <c r="F476" s="11">
        <v>101.54900000000001</v>
      </c>
      <c r="G476" s="11">
        <v>27.4</v>
      </c>
      <c r="H476" s="1" t="s">
        <v>0</v>
      </c>
      <c r="I476">
        <v>30.5</v>
      </c>
      <c r="J476" t="s">
        <v>6</v>
      </c>
      <c r="K476">
        <v>24.2</v>
      </c>
      <c r="L476">
        <v>27.1</v>
      </c>
      <c r="M476">
        <f t="shared" si="31"/>
        <v>1</v>
      </c>
    </row>
    <row r="477" spans="1:13" x14ac:dyDescent="0.2">
      <c r="A477" s="9">
        <v>43211</v>
      </c>
      <c r="B477">
        <f t="shared" si="28"/>
        <v>21</v>
      </c>
      <c r="C477">
        <f t="shared" si="29"/>
        <v>4</v>
      </c>
      <c r="D477">
        <f t="shared" si="30"/>
        <v>2018</v>
      </c>
      <c r="E477" s="11">
        <v>3.1309999999999998</v>
      </c>
      <c r="F477" s="11">
        <v>101.54900000000001</v>
      </c>
      <c r="G477" s="11">
        <v>27.4</v>
      </c>
      <c r="H477" s="1" t="s">
        <v>0</v>
      </c>
      <c r="I477">
        <v>5.0999999999999996</v>
      </c>
      <c r="J477" t="s">
        <v>6</v>
      </c>
      <c r="K477">
        <v>24.8</v>
      </c>
      <c r="L477">
        <v>27.7</v>
      </c>
      <c r="M477">
        <f t="shared" si="31"/>
        <v>1</v>
      </c>
    </row>
    <row r="478" spans="1:13" x14ac:dyDescent="0.2">
      <c r="A478" s="9">
        <v>43212</v>
      </c>
      <c r="B478">
        <f t="shared" si="28"/>
        <v>22</v>
      </c>
      <c r="C478">
        <f t="shared" si="29"/>
        <v>4</v>
      </c>
      <c r="D478">
        <f t="shared" si="30"/>
        <v>2018</v>
      </c>
      <c r="E478" s="11">
        <v>3.1309999999999998</v>
      </c>
      <c r="F478" s="11">
        <v>101.54900000000001</v>
      </c>
      <c r="G478" s="11">
        <v>27.4</v>
      </c>
      <c r="H478" s="1" t="s">
        <v>0</v>
      </c>
      <c r="I478">
        <v>0.3</v>
      </c>
      <c r="J478" t="s">
        <v>6</v>
      </c>
      <c r="K478">
        <v>25.2</v>
      </c>
      <c r="L478">
        <v>28.7</v>
      </c>
      <c r="M478">
        <f t="shared" si="31"/>
        <v>1</v>
      </c>
    </row>
    <row r="479" spans="1:13" x14ac:dyDescent="0.2">
      <c r="A479" s="9">
        <v>43213</v>
      </c>
      <c r="B479">
        <f t="shared" si="28"/>
        <v>23</v>
      </c>
      <c r="C479">
        <f t="shared" si="29"/>
        <v>4</v>
      </c>
      <c r="D479">
        <f t="shared" si="30"/>
        <v>2018</v>
      </c>
      <c r="E479" s="11">
        <v>3.1309999999999998</v>
      </c>
      <c r="F479" s="11">
        <v>101.54900000000001</v>
      </c>
      <c r="G479" s="11">
        <v>27.4</v>
      </c>
      <c r="H479" s="1" t="s">
        <v>0</v>
      </c>
      <c r="I479">
        <v>0.3</v>
      </c>
      <c r="J479" t="s">
        <v>6</v>
      </c>
      <c r="K479" t="s">
        <v>6</v>
      </c>
      <c r="L479">
        <v>27.3</v>
      </c>
      <c r="M479">
        <f t="shared" si="31"/>
        <v>1</v>
      </c>
    </row>
    <row r="480" spans="1:13" x14ac:dyDescent="0.2">
      <c r="A480" s="9">
        <v>43214</v>
      </c>
      <c r="B480">
        <f t="shared" si="28"/>
        <v>24</v>
      </c>
      <c r="C480">
        <f t="shared" si="29"/>
        <v>4</v>
      </c>
      <c r="D480">
        <f t="shared" si="30"/>
        <v>2018</v>
      </c>
      <c r="E480" s="11">
        <v>3.1309999999999998</v>
      </c>
      <c r="F480" s="11">
        <v>101.54900000000001</v>
      </c>
      <c r="G480" s="11">
        <v>27.4</v>
      </c>
      <c r="H480" s="1" t="s">
        <v>0</v>
      </c>
      <c r="I480">
        <v>5.0999999999999996</v>
      </c>
      <c r="J480" t="s">
        <v>6</v>
      </c>
      <c r="K480" t="s">
        <v>6</v>
      </c>
      <c r="L480">
        <v>27.8</v>
      </c>
      <c r="M480">
        <f t="shared" si="31"/>
        <v>1</v>
      </c>
    </row>
    <row r="481" spans="1:13" x14ac:dyDescent="0.2">
      <c r="A481" s="9">
        <v>43215</v>
      </c>
      <c r="B481">
        <f t="shared" si="28"/>
        <v>25</v>
      </c>
      <c r="C481">
        <f t="shared" si="29"/>
        <v>4</v>
      </c>
      <c r="D481">
        <f t="shared" si="30"/>
        <v>2018</v>
      </c>
      <c r="E481" s="11">
        <v>3.1309999999999998</v>
      </c>
      <c r="F481" s="11">
        <v>101.54900000000001</v>
      </c>
      <c r="G481" s="11">
        <v>27.4</v>
      </c>
      <c r="H481" s="1" t="s">
        <v>0</v>
      </c>
      <c r="I481">
        <v>2.5</v>
      </c>
      <c r="J481" t="s">
        <v>6</v>
      </c>
      <c r="K481" t="s">
        <v>6</v>
      </c>
      <c r="L481">
        <v>29</v>
      </c>
      <c r="M481">
        <f t="shared" si="31"/>
        <v>1</v>
      </c>
    </row>
    <row r="482" spans="1:13" x14ac:dyDescent="0.2">
      <c r="A482" s="9">
        <v>43216</v>
      </c>
      <c r="B482">
        <f t="shared" si="28"/>
        <v>26</v>
      </c>
      <c r="C482">
        <f t="shared" si="29"/>
        <v>4</v>
      </c>
      <c r="D482">
        <f t="shared" si="30"/>
        <v>2018</v>
      </c>
      <c r="E482" s="11">
        <v>3.1309999999999998</v>
      </c>
      <c r="F482" s="11">
        <v>101.54900000000001</v>
      </c>
      <c r="G482" s="11">
        <v>27.4</v>
      </c>
      <c r="H482" s="1" t="s">
        <v>0</v>
      </c>
      <c r="I482">
        <v>31</v>
      </c>
      <c r="J482" t="s">
        <v>6</v>
      </c>
      <c r="K482">
        <v>23.2</v>
      </c>
      <c r="L482">
        <v>29.1</v>
      </c>
      <c r="M482">
        <f t="shared" si="31"/>
        <v>1</v>
      </c>
    </row>
    <row r="483" spans="1:13" x14ac:dyDescent="0.2">
      <c r="A483" s="9">
        <v>43217</v>
      </c>
      <c r="B483">
        <f t="shared" si="28"/>
        <v>27</v>
      </c>
      <c r="C483">
        <f t="shared" si="29"/>
        <v>4</v>
      </c>
      <c r="D483">
        <f t="shared" si="30"/>
        <v>2018</v>
      </c>
      <c r="E483" s="11">
        <v>3.1309999999999998</v>
      </c>
      <c r="F483" s="11">
        <v>101.54900000000001</v>
      </c>
      <c r="G483" s="11">
        <v>27.4</v>
      </c>
      <c r="H483" s="1" t="s">
        <v>0</v>
      </c>
      <c r="I483">
        <v>0</v>
      </c>
      <c r="J483" t="s">
        <v>6</v>
      </c>
      <c r="K483" t="s">
        <v>6</v>
      </c>
      <c r="L483">
        <v>28</v>
      </c>
      <c r="M483">
        <f t="shared" si="31"/>
        <v>0</v>
      </c>
    </row>
    <row r="484" spans="1:13" x14ac:dyDescent="0.2">
      <c r="A484" s="9">
        <v>43218</v>
      </c>
      <c r="B484">
        <f t="shared" si="28"/>
        <v>28</v>
      </c>
      <c r="C484">
        <f t="shared" si="29"/>
        <v>4</v>
      </c>
      <c r="D484">
        <f t="shared" si="30"/>
        <v>2018</v>
      </c>
      <c r="E484" s="11">
        <v>3.1309999999999998</v>
      </c>
      <c r="F484" s="11">
        <v>101.54900000000001</v>
      </c>
      <c r="G484" s="11">
        <v>27.4</v>
      </c>
      <c r="H484" s="1" t="s">
        <v>0</v>
      </c>
      <c r="I484">
        <v>13.5</v>
      </c>
      <c r="J484" t="s">
        <v>6</v>
      </c>
      <c r="K484">
        <v>24.3</v>
      </c>
      <c r="L484">
        <v>29.7</v>
      </c>
      <c r="M484">
        <f t="shared" si="31"/>
        <v>1</v>
      </c>
    </row>
    <row r="485" spans="1:13" x14ac:dyDescent="0.2">
      <c r="A485" s="9">
        <v>43219</v>
      </c>
      <c r="B485">
        <f t="shared" si="28"/>
        <v>29</v>
      </c>
      <c r="C485">
        <f t="shared" si="29"/>
        <v>4</v>
      </c>
      <c r="D485">
        <f t="shared" si="30"/>
        <v>2018</v>
      </c>
      <c r="E485" s="11">
        <v>3.1309999999999998</v>
      </c>
      <c r="F485" s="11">
        <v>101.54900000000001</v>
      </c>
      <c r="G485" s="11">
        <v>27.4</v>
      </c>
      <c r="H485" s="1" t="s">
        <v>0</v>
      </c>
      <c r="I485">
        <v>0</v>
      </c>
      <c r="J485" t="s">
        <v>6</v>
      </c>
      <c r="K485" t="s">
        <v>6</v>
      </c>
      <c r="L485">
        <v>30.7</v>
      </c>
      <c r="M485">
        <f t="shared" si="31"/>
        <v>0</v>
      </c>
    </row>
    <row r="486" spans="1:13" x14ac:dyDescent="0.2">
      <c r="A486" s="9">
        <v>43220</v>
      </c>
      <c r="B486">
        <f t="shared" si="28"/>
        <v>30</v>
      </c>
      <c r="C486">
        <f t="shared" si="29"/>
        <v>4</v>
      </c>
      <c r="D486">
        <f t="shared" si="30"/>
        <v>2018</v>
      </c>
      <c r="E486" s="11">
        <v>3.1309999999999998</v>
      </c>
      <c r="F486" s="11">
        <v>101.54900000000001</v>
      </c>
      <c r="G486" s="11">
        <v>27.4</v>
      </c>
      <c r="H486" s="1" t="s">
        <v>0</v>
      </c>
      <c r="I486">
        <v>0</v>
      </c>
      <c r="J486" t="s">
        <v>6</v>
      </c>
      <c r="K486" t="s">
        <v>6</v>
      </c>
      <c r="L486">
        <v>27.1</v>
      </c>
      <c r="M486">
        <f t="shared" si="31"/>
        <v>0</v>
      </c>
    </row>
    <row r="487" spans="1:13" x14ac:dyDescent="0.2">
      <c r="A487" s="9">
        <v>43221</v>
      </c>
      <c r="B487">
        <f t="shared" si="28"/>
        <v>1</v>
      </c>
      <c r="C487">
        <f t="shared" si="29"/>
        <v>5</v>
      </c>
      <c r="D487">
        <f t="shared" si="30"/>
        <v>2018</v>
      </c>
      <c r="E487" s="11">
        <v>3.1309999999999998</v>
      </c>
      <c r="F487" s="11">
        <v>101.54900000000001</v>
      </c>
      <c r="G487" s="11">
        <v>27.4</v>
      </c>
      <c r="H487" s="1" t="s">
        <v>0</v>
      </c>
      <c r="I487">
        <v>40.1</v>
      </c>
      <c r="J487" t="s">
        <v>6</v>
      </c>
      <c r="K487">
        <v>24.9</v>
      </c>
      <c r="L487">
        <v>27.4</v>
      </c>
      <c r="M487">
        <f t="shared" si="31"/>
        <v>1</v>
      </c>
    </row>
    <row r="488" spans="1:13" x14ac:dyDescent="0.2">
      <c r="A488" s="9">
        <v>43222</v>
      </c>
      <c r="B488">
        <f t="shared" si="28"/>
        <v>2</v>
      </c>
      <c r="C488">
        <f t="shared" si="29"/>
        <v>5</v>
      </c>
      <c r="D488">
        <f t="shared" si="30"/>
        <v>2018</v>
      </c>
      <c r="E488" s="11">
        <v>3.1309999999999998</v>
      </c>
      <c r="F488" s="11">
        <v>101.54900000000001</v>
      </c>
      <c r="G488" s="11">
        <v>27.4</v>
      </c>
      <c r="H488" s="1" t="s">
        <v>0</v>
      </c>
      <c r="I488">
        <v>19.100000000000001</v>
      </c>
      <c r="J488" t="s">
        <v>6</v>
      </c>
      <c r="K488" t="s">
        <v>6</v>
      </c>
      <c r="L488">
        <v>27.8</v>
      </c>
      <c r="M488">
        <f t="shared" si="31"/>
        <v>1</v>
      </c>
    </row>
    <row r="489" spans="1:13" x14ac:dyDescent="0.2">
      <c r="A489" s="9">
        <v>43223</v>
      </c>
      <c r="B489">
        <f t="shared" si="28"/>
        <v>3</v>
      </c>
      <c r="C489">
        <f t="shared" si="29"/>
        <v>5</v>
      </c>
      <c r="D489">
        <f t="shared" si="30"/>
        <v>2018</v>
      </c>
      <c r="E489" s="11">
        <v>3.1309999999999998</v>
      </c>
      <c r="F489" s="11">
        <v>101.54900000000001</v>
      </c>
      <c r="G489" s="11">
        <v>27.4</v>
      </c>
      <c r="H489" s="1" t="s">
        <v>0</v>
      </c>
      <c r="I489">
        <v>3.3</v>
      </c>
      <c r="J489" t="s">
        <v>6</v>
      </c>
      <c r="K489" t="s">
        <v>6</v>
      </c>
      <c r="L489">
        <v>27.7</v>
      </c>
      <c r="M489">
        <f t="shared" si="31"/>
        <v>1</v>
      </c>
    </row>
    <row r="490" spans="1:13" x14ac:dyDescent="0.2">
      <c r="A490" s="9">
        <v>43224</v>
      </c>
      <c r="B490">
        <f t="shared" si="28"/>
        <v>4</v>
      </c>
      <c r="C490">
        <f t="shared" si="29"/>
        <v>5</v>
      </c>
      <c r="D490">
        <f t="shared" si="30"/>
        <v>2018</v>
      </c>
      <c r="E490" s="11">
        <v>3.1309999999999998</v>
      </c>
      <c r="F490" s="11">
        <v>101.54900000000001</v>
      </c>
      <c r="G490" s="11">
        <v>27.4</v>
      </c>
      <c r="H490" s="1" t="s">
        <v>0</v>
      </c>
      <c r="I490">
        <v>0</v>
      </c>
      <c r="J490" t="s">
        <v>6</v>
      </c>
      <c r="K490">
        <v>22.7</v>
      </c>
      <c r="L490">
        <v>27.1</v>
      </c>
      <c r="M490">
        <f t="shared" si="31"/>
        <v>0</v>
      </c>
    </row>
    <row r="491" spans="1:13" x14ac:dyDescent="0.2">
      <c r="A491" s="9">
        <v>43225</v>
      </c>
      <c r="B491">
        <f t="shared" si="28"/>
        <v>5</v>
      </c>
      <c r="C491">
        <f t="shared" si="29"/>
        <v>5</v>
      </c>
      <c r="D491">
        <f t="shared" si="30"/>
        <v>2018</v>
      </c>
      <c r="E491" s="11">
        <v>3.1309999999999998</v>
      </c>
      <c r="F491" s="11">
        <v>101.54900000000001</v>
      </c>
      <c r="G491" s="11">
        <v>27.4</v>
      </c>
      <c r="H491" s="1" t="s">
        <v>0</v>
      </c>
      <c r="I491">
        <v>48.3</v>
      </c>
      <c r="J491" t="s">
        <v>6</v>
      </c>
      <c r="K491">
        <v>23.8</v>
      </c>
      <c r="L491">
        <v>27.4</v>
      </c>
      <c r="M491">
        <f t="shared" si="31"/>
        <v>1</v>
      </c>
    </row>
    <row r="492" spans="1:13" x14ac:dyDescent="0.2">
      <c r="A492" s="9">
        <v>43226</v>
      </c>
      <c r="B492">
        <f t="shared" si="28"/>
        <v>6</v>
      </c>
      <c r="C492">
        <f t="shared" si="29"/>
        <v>5</v>
      </c>
      <c r="D492">
        <f t="shared" si="30"/>
        <v>2018</v>
      </c>
      <c r="E492" s="11">
        <v>3.1309999999999998</v>
      </c>
      <c r="F492" s="11">
        <v>101.54900000000001</v>
      </c>
      <c r="G492" s="11">
        <v>27.4</v>
      </c>
      <c r="H492" s="1" t="s">
        <v>0</v>
      </c>
      <c r="I492">
        <v>13.7</v>
      </c>
      <c r="J492" t="s">
        <v>6</v>
      </c>
      <c r="K492">
        <v>24.9</v>
      </c>
      <c r="L492">
        <v>29.5</v>
      </c>
      <c r="M492">
        <f t="shared" si="31"/>
        <v>1</v>
      </c>
    </row>
    <row r="493" spans="1:13" x14ac:dyDescent="0.2">
      <c r="A493" s="9">
        <v>43227</v>
      </c>
      <c r="B493">
        <f t="shared" si="28"/>
        <v>7</v>
      </c>
      <c r="C493">
        <f t="shared" si="29"/>
        <v>5</v>
      </c>
      <c r="D493">
        <f t="shared" si="30"/>
        <v>2018</v>
      </c>
      <c r="E493" s="11">
        <v>3.1309999999999998</v>
      </c>
      <c r="F493" s="11">
        <v>101.54900000000001</v>
      </c>
      <c r="G493" s="11">
        <v>27.4</v>
      </c>
      <c r="H493" s="1" t="s">
        <v>0</v>
      </c>
      <c r="I493">
        <v>0</v>
      </c>
      <c r="J493" t="s">
        <v>6</v>
      </c>
      <c r="K493" t="s">
        <v>6</v>
      </c>
      <c r="L493">
        <v>28</v>
      </c>
      <c r="M493">
        <f t="shared" si="31"/>
        <v>0</v>
      </c>
    </row>
    <row r="494" spans="1:13" x14ac:dyDescent="0.2">
      <c r="A494" s="9">
        <v>43228</v>
      </c>
      <c r="B494">
        <f t="shared" si="28"/>
        <v>8</v>
      </c>
      <c r="C494">
        <f t="shared" si="29"/>
        <v>5</v>
      </c>
      <c r="D494">
        <f t="shared" si="30"/>
        <v>2018</v>
      </c>
      <c r="E494" s="11">
        <v>3.1309999999999998</v>
      </c>
      <c r="F494" s="11">
        <v>101.54900000000001</v>
      </c>
      <c r="G494" s="11">
        <v>27.4</v>
      </c>
      <c r="H494" s="1" t="s">
        <v>0</v>
      </c>
      <c r="I494">
        <v>4.0999999999999996</v>
      </c>
      <c r="J494" t="s">
        <v>6</v>
      </c>
      <c r="K494">
        <v>24.9</v>
      </c>
      <c r="L494">
        <v>29.8</v>
      </c>
      <c r="M494">
        <f t="shared" si="31"/>
        <v>1</v>
      </c>
    </row>
    <row r="495" spans="1:13" x14ac:dyDescent="0.2">
      <c r="A495" s="9">
        <v>43229</v>
      </c>
      <c r="B495">
        <f t="shared" si="28"/>
        <v>9</v>
      </c>
      <c r="C495">
        <f t="shared" si="29"/>
        <v>5</v>
      </c>
      <c r="D495">
        <f t="shared" si="30"/>
        <v>2018</v>
      </c>
      <c r="E495" s="11">
        <v>3.1309999999999998</v>
      </c>
      <c r="F495" s="11">
        <v>101.54900000000001</v>
      </c>
      <c r="G495" s="11">
        <v>27.4</v>
      </c>
      <c r="H495" s="1" t="s">
        <v>0</v>
      </c>
      <c r="I495">
        <v>0</v>
      </c>
      <c r="J495" t="s">
        <v>6</v>
      </c>
      <c r="K495" t="s">
        <v>6</v>
      </c>
      <c r="L495">
        <v>30</v>
      </c>
      <c r="M495">
        <f t="shared" si="31"/>
        <v>0</v>
      </c>
    </row>
    <row r="496" spans="1:13" x14ac:dyDescent="0.2">
      <c r="A496" s="9">
        <v>43230</v>
      </c>
      <c r="B496">
        <f t="shared" si="28"/>
        <v>10</v>
      </c>
      <c r="C496">
        <f t="shared" si="29"/>
        <v>5</v>
      </c>
      <c r="D496">
        <f t="shared" si="30"/>
        <v>2018</v>
      </c>
      <c r="E496" s="11">
        <v>3.1309999999999998</v>
      </c>
      <c r="F496" s="11">
        <v>101.54900000000001</v>
      </c>
      <c r="G496" s="11">
        <v>27.4</v>
      </c>
      <c r="H496" s="1" t="s">
        <v>0</v>
      </c>
      <c r="I496">
        <v>0</v>
      </c>
      <c r="J496" t="s">
        <v>6</v>
      </c>
      <c r="K496" t="s">
        <v>6</v>
      </c>
      <c r="L496">
        <v>29.1</v>
      </c>
      <c r="M496">
        <f t="shared" si="31"/>
        <v>0</v>
      </c>
    </row>
    <row r="497" spans="1:13" x14ac:dyDescent="0.2">
      <c r="A497" s="9">
        <v>43231</v>
      </c>
      <c r="B497">
        <f t="shared" si="28"/>
        <v>11</v>
      </c>
      <c r="C497">
        <f t="shared" si="29"/>
        <v>5</v>
      </c>
      <c r="D497">
        <f t="shared" si="30"/>
        <v>2018</v>
      </c>
      <c r="E497" s="11">
        <v>3.1309999999999998</v>
      </c>
      <c r="F497" s="11">
        <v>101.54900000000001</v>
      </c>
      <c r="G497" s="11">
        <v>27.4</v>
      </c>
      <c r="H497" s="1" t="s">
        <v>0</v>
      </c>
      <c r="I497">
        <v>0</v>
      </c>
      <c r="J497" t="s">
        <v>6</v>
      </c>
      <c r="K497">
        <v>25.2</v>
      </c>
      <c r="L497">
        <v>29.2</v>
      </c>
      <c r="M497">
        <f t="shared" si="31"/>
        <v>0</v>
      </c>
    </row>
    <row r="498" spans="1:13" x14ac:dyDescent="0.2">
      <c r="A498" s="9">
        <v>43232</v>
      </c>
      <c r="B498">
        <f t="shared" si="28"/>
        <v>12</v>
      </c>
      <c r="C498">
        <f t="shared" si="29"/>
        <v>5</v>
      </c>
      <c r="D498">
        <f t="shared" si="30"/>
        <v>2018</v>
      </c>
      <c r="E498" s="11">
        <v>3.1309999999999998</v>
      </c>
      <c r="F498" s="11">
        <v>101.54900000000001</v>
      </c>
      <c r="G498" s="11">
        <v>27.4</v>
      </c>
      <c r="H498" s="1" t="s">
        <v>0</v>
      </c>
      <c r="I498">
        <v>0.5</v>
      </c>
      <c r="J498" t="s">
        <v>6</v>
      </c>
      <c r="K498" t="s">
        <v>6</v>
      </c>
      <c r="L498">
        <v>27.9</v>
      </c>
      <c r="M498">
        <f t="shared" si="31"/>
        <v>1</v>
      </c>
    </row>
    <row r="499" spans="1:13" x14ac:dyDescent="0.2">
      <c r="A499" s="9">
        <v>43233</v>
      </c>
      <c r="B499">
        <f t="shared" si="28"/>
        <v>13</v>
      </c>
      <c r="C499">
        <f t="shared" si="29"/>
        <v>5</v>
      </c>
      <c r="D499">
        <f t="shared" si="30"/>
        <v>2018</v>
      </c>
      <c r="E499" s="11">
        <v>3.1309999999999998</v>
      </c>
      <c r="F499" s="11">
        <v>101.54900000000001</v>
      </c>
      <c r="G499" s="11">
        <v>27.4</v>
      </c>
      <c r="H499" s="1" t="s">
        <v>0</v>
      </c>
      <c r="I499">
        <v>73.2</v>
      </c>
      <c r="J499" t="s">
        <v>6</v>
      </c>
      <c r="K499">
        <v>23.9</v>
      </c>
      <c r="L499">
        <v>27.6</v>
      </c>
      <c r="M499">
        <f t="shared" si="31"/>
        <v>1</v>
      </c>
    </row>
    <row r="500" spans="1:13" x14ac:dyDescent="0.2">
      <c r="A500" s="9">
        <v>43234</v>
      </c>
      <c r="B500">
        <f t="shared" si="28"/>
        <v>14</v>
      </c>
      <c r="C500">
        <f t="shared" si="29"/>
        <v>5</v>
      </c>
      <c r="D500">
        <f t="shared" si="30"/>
        <v>2018</v>
      </c>
      <c r="E500" s="11">
        <v>3.1309999999999998</v>
      </c>
      <c r="F500" s="11">
        <v>101.54900000000001</v>
      </c>
      <c r="G500" s="11">
        <v>27.4</v>
      </c>
      <c r="H500" s="1" t="s">
        <v>0</v>
      </c>
      <c r="I500">
        <v>0</v>
      </c>
      <c r="J500" t="s">
        <v>6</v>
      </c>
      <c r="K500">
        <v>24.6</v>
      </c>
      <c r="L500">
        <v>28.2</v>
      </c>
      <c r="M500">
        <f t="shared" si="31"/>
        <v>0</v>
      </c>
    </row>
    <row r="501" spans="1:13" x14ac:dyDescent="0.2">
      <c r="A501" s="9">
        <v>43235</v>
      </c>
      <c r="B501">
        <f t="shared" si="28"/>
        <v>15</v>
      </c>
      <c r="C501">
        <f t="shared" si="29"/>
        <v>5</v>
      </c>
      <c r="D501">
        <f t="shared" si="30"/>
        <v>2018</v>
      </c>
      <c r="E501" s="11">
        <v>3.1309999999999998</v>
      </c>
      <c r="F501" s="11">
        <v>101.54900000000001</v>
      </c>
      <c r="G501" s="11">
        <v>27.4</v>
      </c>
      <c r="H501" s="1" t="s">
        <v>0</v>
      </c>
      <c r="I501">
        <v>10.7</v>
      </c>
      <c r="J501" t="s">
        <v>6</v>
      </c>
      <c r="K501">
        <v>25.5</v>
      </c>
      <c r="L501">
        <v>27.7</v>
      </c>
      <c r="M501">
        <f t="shared" si="31"/>
        <v>1</v>
      </c>
    </row>
    <row r="502" spans="1:13" x14ac:dyDescent="0.2">
      <c r="A502" s="9">
        <v>43236</v>
      </c>
      <c r="B502">
        <f t="shared" si="28"/>
        <v>16</v>
      </c>
      <c r="C502">
        <f t="shared" si="29"/>
        <v>5</v>
      </c>
      <c r="D502">
        <f t="shared" si="30"/>
        <v>2018</v>
      </c>
      <c r="E502" s="11">
        <v>3.1309999999999998</v>
      </c>
      <c r="F502" s="11">
        <v>101.54900000000001</v>
      </c>
      <c r="G502" s="11">
        <v>27.4</v>
      </c>
      <c r="H502" s="1" t="s">
        <v>0</v>
      </c>
      <c r="I502">
        <v>0</v>
      </c>
      <c r="J502" t="s">
        <v>6</v>
      </c>
      <c r="K502" t="s">
        <v>6</v>
      </c>
      <c r="L502">
        <v>26.2</v>
      </c>
      <c r="M502">
        <f t="shared" si="31"/>
        <v>0</v>
      </c>
    </row>
    <row r="503" spans="1:13" x14ac:dyDescent="0.2">
      <c r="A503" s="9">
        <v>43237</v>
      </c>
      <c r="B503">
        <f t="shared" si="28"/>
        <v>17</v>
      </c>
      <c r="C503">
        <f t="shared" si="29"/>
        <v>5</v>
      </c>
      <c r="D503">
        <f t="shared" si="30"/>
        <v>2018</v>
      </c>
      <c r="E503" s="11">
        <v>3.1309999999999998</v>
      </c>
      <c r="F503" s="11">
        <v>101.54900000000001</v>
      </c>
      <c r="G503" s="11">
        <v>27.4</v>
      </c>
      <c r="H503" s="1" t="s">
        <v>0</v>
      </c>
      <c r="I503">
        <v>24.6</v>
      </c>
      <c r="J503" t="s">
        <v>6</v>
      </c>
      <c r="K503">
        <v>23.4</v>
      </c>
      <c r="L503">
        <v>27.5</v>
      </c>
      <c r="M503">
        <f t="shared" si="31"/>
        <v>1</v>
      </c>
    </row>
    <row r="504" spans="1:13" x14ac:dyDescent="0.2">
      <c r="A504" s="9">
        <v>43238</v>
      </c>
      <c r="B504">
        <f t="shared" si="28"/>
        <v>18</v>
      </c>
      <c r="C504">
        <f t="shared" si="29"/>
        <v>5</v>
      </c>
      <c r="D504">
        <f t="shared" si="30"/>
        <v>2018</v>
      </c>
      <c r="E504" s="11">
        <v>3.1309999999999998</v>
      </c>
      <c r="F504" s="11">
        <v>101.54900000000001</v>
      </c>
      <c r="G504" s="11">
        <v>27.4</v>
      </c>
      <c r="H504" s="1" t="s">
        <v>0</v>
      </c>
      <c r="I504">
        <v>24.9</v>
      </c>
      <c r="J504" t="s">
        <v>6</v>
      </c>
      <c r="K504" t="s">
        <v>6</v>
      </c>
      <c r="L504">
        <v>26.5</v>
      </c>
      <c r="M504">
        <f t="shared" si="31"/>
        <v>1</v>
      </c>
    </row>
    <row r="505" spans="1:13" x14ac:dyDescent="0.2">
      <c r="A505" s="9">
        <v>43239</v>
      </c>
      <c r="B505">
        <f t="shared" si="28"/>
        <v>19</v>
      </c>
      <c r="C505">
        <f t="shared" si="29"/>
        <v>5</v>
      </c>
      <c r="D505">
        <f t="shared" si="30"/>
        <v>2018</v>
      </c>
      <c r="E505" s="11">
        <v>3.1309999999999998</v>
      </c>
      <c r="F505" s="11">
        <v>101.54900000000001</v>
      </c>
      <c r="G505" s="11">
        <v>27.4</v>
      </c>
      <c r="H505" s="1" t="s">
        <v>0</v>
      </c>
      <c r="I505">
        <v>2</v>
      </c>
      <c r="J505" t="s">
        <v>6</v>
      </c>
      <c r="K505" t="s">
        <v>6</v>
      </c>
      <c r="L505">
        <v>26.5</v>
      </c>
      <c r="M505">
        <f t="shared" si="31"/>
        <v>1</v>
      </c>
    </row>
    <row r="506" spans="1:13" x14ac:dyDescent="0.2">
      <c r="A506" s="9">
        <v>43240</v>
      </c>
      <c r="B506">
        <f t="shared" si="28"/>
        <v>20</v>
      </c>
      <c r="C506">
        <f t="shared" si="29"/>
        <v>5</v>
      </c>
      <c r="D506">
        <f t="shared" si="30"/>
        <v>2018</v>
      </c>
      <c r="E506" s="11">
        <v>3.1309999999999998</v>
      </c>
      <c r="F506" s="11">
        <v>101.54900000000001</v>
      </c>
      <c r="G506" s="11">
        <v>27.4</v>
      </c>
      <c r="H506" s="1" t="s">
        <v>0</v>
      </c>
      <c r="I506">
        <v>18.3</v>
      </c>
      <c r="J506" t="s">
        <v>6</v>
      </c>
      <c r="K506">
        <v>24.7</v>
      </c>
      <c r="L506">
        <v>28.4</v>
      </c>
      <c r="M506">
        <f t="shared" si="31"/>
        <v>1</v>
      </c>
    </row>
    <row r="507" spans="1:13" x14ac:dyDescent="0.2">
      <c r="A507" s="9">
        <v>43241</v>
      </c>
      <c r="B507">
        <f t="shared" si="28"/>
        <v>21</v>
      </c>
      <c r="C507">
        <f t="shared" si="29"/>
        <v>5</v>
      </c>
      <c r="D507">
        <f t="shared" si="30"/>
        <v>2018</v>
      </c>
      <c r="E507" s="11">
        <v>3.1309999999999998</v>
      </c>
      <c r="F507" s="11">
        <v>101.54900000000001</v>
      </c>
      <c r="G507" s="11">
        <v>27.4</v>
      </c>
      <c r="H507" s="1" t="s">
        <v>0</v>
      </c>
      <c r="I507">
        <v>0</v>
      </c>
      <c r="J507" t="s">
        <v>6</v>
      </c>
      <c r="K507">
        <v>24.9</v>
      </c>
      <c r="L507">
        <v>27.6</v>
      </c>
      <c r="M507">
        <f t="shared" si="31"/>
        <v>0</v>
      </c>
    </row>
    <row r="508" spans="1:13" x14ac:dyDescent="0.2">
      <c r="A508" s="9">
        <v>43242</v>
      </c>
      <c r="B508">
        <f t="shared" si="28"/>
        <v>22</v>
      </c>
      <c r="C508">
        <f t="shared" si="29"/>
        <v>5</v>
      </c>
      <c r="D508">
        <f t="shared" si="30"/>
        <v>2018</v>
      </c>
      <c r="E508" s="11">
        <v>3.1309999999999998</v>
      </c>
      <c r="F508" s="11">
        <v>101.54900000000001</v>
      </c>
      <c r="G508" s="11">
        <v>27.4</v>
      </c>
      <c r="H508" s="1" t="s">
        <v>0</v>
      </c>
      <c r="I508">
        <v>0.5</v>
      </c>
      <c r="J508" t="s">
        <v>6</v>
      </c>
      <c r="K508">
        <v>24.8</v>
      </c>
      <c r="L508">
        <v>26.8</v>
      </c>
      <c r="M508">
        <f t="shared" si="31"/>
        <v>1</v>
      </c>
    </row>
    <row r="509" spans="1:13" x14ac:dyDescent="0.2">
      <c r="A509" s="9">
        <v>43243</v>
      </c>
      <c r="B509">
        <f t="shared" si="28"/>
        <v>23</v>
      </c>
      <c r="C509">
        <f t="shared" si="29"/>
        <v>5</v>
      </c>
      <c r="D509">
        <f t="shared" si="30"/>
        <v>2018</v>
      </c>
      <c r="E509" s="11">
        <v>3.1309999999999998</v>
      </c>
      <c r="F509" s="11">
        <v>101.54900000000001</v>
      </c>
      <c r="G509" s="11">
        <v>27.4</v>
      </c>
      <c r="H509" s="1" t="s">
        <v>0</v>
      </c>
      <c r="I509">
        <v>4.5999999999999996</v>
      </c>
      <c r="J509" t="s">
        <v>6</v>
      </c>
      <c r="K509" t="s">
        <v>6</v>
      </c>
      <c r="L509">
        <v>25.9</v>
      </c>
      <c r="M509">
        <f t="shared" si="31"/>
        <v>1</v>
      </c>
    </row>
    <row r="510" spans="1:13" x14ac:dyDescent="0.2">
      <c r="A510" s="9">
        <v>43244</v>
      </c>
      <c r="B510">
        <f t="shared" si="28"/>
        <v>24</v>
      </c>
      <c r="C510">
        <f t="shared" si="29"/>
        <v>5</v>
      </c>
      <c r="D510">
        <f t="shared" si="30"/>
        <v>2018</v>
      </c>
      <c r="E510" s="11">
        <v>3.1309999999999998</v>
      </c>
      <c r="F510" s="11">
        <v>101.54900000000001</v>
      </c>
      <c r="G510" s="11">
        <v>27.4</v>
      </c>
      <c r="H510" s="1" t="s">
        <v>0</v>
      </c>
      <c r="I510">
        <v>38.9</v>
      </c>
      <c r="J510" t="s">
        <v>6</v>
      </c>
      <c r="K510">
        <v>24.4</v>
      </c>
      <c r="L510">
        <v>27.6</v>
      </c>
      <c r="M510">
        <f t="shared" si="31"/>
        <v>1</v>
      </c>
    </row>
    <row r="511" spans="1:13" x14ac:dyDescent="0.2">
      <c r="A511" s="9">
        <v>43245</v>
      </c>
      <c r="B511">
        <f t="shared" si="28"/>
        <v>25</v>
      </c>
      <c r="C511">
        <f t="shared" si="29"/>
        <v>5</v>
      </c>
      <c r="D511">
        <f t="shared" si="30"/>
        <v>2018</v>
      </c>
      <c r="E511" s="11">
        <v>3.1309999999999998</v>
      </c>
      <c r="F511" s="11">
        <v>101.54900000000001</v>
      </c>
      <c r="G511" s="11">
        <v>27.4</v>
      </c>
      <c r="H511" s="1" t="s">
        <v>0</v>
      </c>
      <c r="I511">
        <v>8.4</v>
      </c>
      <c r="J511" t="s">
        <v>6</v>
      </c>
      <c r="K511">
        <v>24.7</v>
      </c>
      <c r="L511">
        <v>28</v>
      </c>
      <c r="M511">
        <f t="shared" si="31"/>
        <v>1</v>
      </c>
    </row>
    <row r="512" spans="1:13" x14ac:dyDescent="0.2">
      <c r="A512" s="9">
        <v>43246</v>
      </c>
      <c r="B512">
        <f t="shared" si="28"/>
        <v>26</v>
      </c>
      <c r="C512">
        <f t="shared" si="29"/>
        <v>5</v>
      </c>
      <c r="D512">
        <f t="shared" si="30"/>
        <v>2018</v>
      </c>
      <c r="E512" s="11">
        <v>3.1309999999999998</v>
      </c>
      <c r="F512" s="11">
        <v>101.54900000000001</v>
      </c>
      <c r="G512" s="11">
        <v>27.4</v>
      </c>
      <c r="H512" s="1" t="s">
        <v>0</v>
      </c>
      <c r="I512">
        <v>1</v>
      </c>
      <c r="J512" t="s">
        <v>6</v>
      </c>
      <c r="K512" t="s">
        <v>6</v>
      </c>
      <c r="L512">
        <v>25.7</v>
      </c>
      <c r="M512">
        <f t="shared" si="31"/>
        <v>1</v>
      </c>
    </row>
    <row r="513" spans="1:13" x14ac:dyDescent="0.2">
      <c r="A513" s="9">
        <v>43247</v>
      </c>
      <c r="B513">
        <f t="shared" si="28"/>
        <v>27</v>
      </c>
      <c r="C513">
        <f t="shared" si="29"/>
        <v>5</v>
      </c>
      <c r="D513">
        <f t="shared" si="30"/>
        <v>2018</v>
      </c>
      <c r="E513" s="11">
        <v>3.1309999999999998</v>
      </c>
      <c r="F513" s="11">
        <v>101.54900000000001</v>
      </c>
      <c r="G513" s="11">
        <v>27.4</v>
      </c>
      <c r="H513" s="1" t="s">
        <v>0</v>
      </c>
      <c r="I513">
        <v>64</v>
      </c>
      <c r="J513" t="s">
        <v>6</v>
      </c>
      <c r="K513">
        <v>23.7</v>
      </c>
      <c r="L513">
        <v>27</v>
      </c>
      <c r="M513">
        <f t="shared" si="31"/>
        <v>1</v>
      </c>
    </row>
    <row r="514" spans="1:13" x14ac:dyDescent="0.2">
      <c r="A514" s="9">
        <v>43248</v>
      </c>
      <c r="B514">
        <f t="shared" si="28"/>
        <v>28</v>
      </c>
      <c r="C514">
        <f t="shared" si="29"/>
        <v>5</v>
      </c>
      <c r="D514">
        <f t="shared" si="30"/>
        <v>2018</v>
      </c>
      <c r="E514" s="11">
        <v>3.1309999999999998</v>
      </c>
      <c r="F514" s="11">
        <v>101.54900000000001</v>
      </c>
      <c r="G514" s="11">
        <v>27.4</v>
      </c>
      <c r="H514" s="1" t="s">
        <v>0</v>
      </c>
      <c r="I514">
        <v>44.2</v>
      </c>
      <c r="J514" t="s">
        <v>6</v>
      </c>
      <c r="K514">
        <v>24.1</v>
      </c>
      <c r="L514">
        <v>28.4</v>
      </c>
      <c r="M514">
        <f t="shared" si="31"/>
        <v>1</v>
      </c>
    </row>
    <row r="515" spans="1:13" x14ac:dyDescent="0.2">
      <c r="A515" s="9">
        <v>43249</v>
      </c>
      <c r="B515">
        <f t="shared" ref="B515:B578" si="32">DAY(A515)</f>
        <v>29</v>
      </c>
      <c r="C515">
        <f t="shared" ref="C515:C578" si="33">MONTH(A515)</f>
        <v>5</v>
      </c>
      <c r="D515">
        <f t="shared" ref="D515:D578" si="34">YEAR(A515)</f>
        <v>2018</v>
      </c>
      <c r="E515" s="11">
        <v>3.1309999999999998</v>
      </c>
      <c r="F515" s="11">
        <v>101.54900000000001</v>
      </c>
      <c r="G515" s="11">
        <v>27.4</v>
      </c>
      <c r="H515" s="1" t="s">
        <v>0</v>
      </c>
      <c r="I515">
        <v>0</v>
      </c>
      <c r="J515" t="s">
        <v>6</v>
      </c>
      <c r="K515" t="s">
        <v>6</v>
      </c>
      <c r="L515">
        <v>27.1</v>
      </c>
      <c r="M515">
        <f t="shared" ref="M515:M578" si="35">IF(ISNUMBER(I515), IF(I515&gt;0, 1, 0), "")</f>
        <v>0</v>
      </c>
    </row>
    <row r="516" spans="1:13" x14ac:dyDescent="0.2">
      <c r="A516" s="9">
        <v>43250</v>
      </c>
      <c r="B516">
        <f t="shared" si="32"/>
        <v>30</v>
      </c>
      <c r="C516">
        <f t="shared" si="33"/>
        <v>5</v>
      </c>
      <c r="D516">
        <f t="shared" si="34"/>
        <v>2018</v>
      </c>
      <c r="E516" s="11">
        <v>3.1309999999999998</v>
      </c>
      <c r="F516" s="11">
        <v>101.54900000000001</v>
      </c>
      <c r="G516" s="11">
        <v>27.4</v>
      </c>
      <c r="H516" s="1" t="s">
        <v>0</v>
      </c>
      <c r="I516">
        <v>6.4</v>
      </c>
      <c r="J516" t="s">
        <v>6</v>
      </c>
      <c r="K516" t="s">
        <v>6</v>
      </c>
      <c r="L516">
        <v>26.6</v>
      </c>
      <c r="M516">
        <f t="shared" si="35"/>
        <v>1</v>
      </c>
    </row>
    <row r="517" spans="1:13" x14ac:dyDescent="0.2">
      <c r="A517" s="9">
        <v>43251</v>
      </c>
      <c r="B517">
        <f t="shared" si="32"/>
        <v>31</v>
      </c>
      <c r="C517">
        <f t="shared" si="33"/>
        <v>5</v>
      </c>
      <c r="D517">
        <f t="shared" si="34"/>
        <v>2018</v>
      </c>
      <c r="E517" s="11">
        <v>3.1309999999999998</v>
      </c>
      <c r="F517" s="11">
        <v>101.54900000000001</v>
      </c>
      <c r="G517" s="11">
        <v>27.4</v>
      </c>
      <c r="H517" s="1" t="s">
        <v>0</v>
      </c>
      <c r="I517">
        <v>108.2</v>
      </c>
      <c r="J517" t="s">
        <v>6</v>
      </c>
      <c r="K517">
        <v>24.7</v>
      </c>
      <c r="L517">
        <v>26.6</v>
      </c>
      <c r="M517">
        <f t="shared" si="35"/>
        <v>1</v>
      </c>
    </row>
    <row r="518" spans="1:13" x14ac:dyDescent="0.2">
      <c r="A518" s="9">
        <v>43252</v>
      </c>
      <c r="B518">
        <f t="shared" si="32"/>
        <v>1</v>
      </c>
      <c r="C518">
        <f t="shared" si="33"/>
        <v>6</v>
      </c>
      <c r="D518">
        <f t="shared" si="34"/>
        <v>2018</v>
      </c>
      <c r="E518" s="11">
        <v>3.1309999999999998</v>
      </c>
      <c r="F518" s="11">
        <v>101.54900000000001</v>
      </c>
      <c r="G518" s="11">
        <v>27.4</v>
      </c>
      <c r="H518" s="1" t="s">
        <v>0</v>
      </c>
      <c r="I518">
        <v>13</v>
      </c>
      <c r="J518" t="s">
        <v>6</v>
      </c>
      <c r="K518" t="s">
        <v>6</v>
      </c>
      <c r="L518">
        <v>27.8</v>
      </c>
      <c r="M518">
        <f t="shared" si="35"/>
        <v>1</v>
      </c>
    </row>
    <row r="519" spans="1:13" x14ac:dyDescent="0.2">
      <c r="A519" s="9">
        <v>43253</v>
      </c>
      <c r="B519">
        <f t="shared" si="32"/>
        <v>2</v>
      </c>
      <c r="C519">
        <f t="shared" si="33"/>
        <v>6</v>
      </c>
      <c r="D519">
        <f t="shared" si="34"/>
        <v>2018</v>
      </c>
      <c r="E519" s="11">
        <v>3.1309999999999998</v>
      </c>
      <c r="F519" s="11">
        <v>101.54900000000001</v>
      </c>
      <c r="G519" s="11">
        <v>27.4</v>
      </c>
      <c r="H519" s="1" t="s">
        <v>0</v>
      </c>
      <c r="I519">
        <v>10.7</v>
      </c>
      <c r="J519" t="s">
        <v>6</v>
      </c>
      <c r="K519">
        <v>23.4</v>
      </c>
      <c r="L519">
        <v>28.8</v>
      </c>
      <c r="M519">
        <f t="shared" si="35"/>
        <v>1</v>
      </c>
    </row>
    <row r="520" spans="1:13" x14ac:dyDescent="0.2">
      <c r="A520" s="9">
        <v>43254</v>
      </c>
      <c r="B520">
        <f t="shared" si="32"/>
        <v>3</v>
      </c>
      <c r="C520">
        <f t="shared" si="33"/>
        <v>6</v>
      </c>
      <c r="D520">
        <f t="shared" si="34"/>
        <v>2018</v>
      </c>
      <c r="E520" s="11">
        <v>3.1309999999999998</v>
      </c>
      <c r="F520" s="11">
        <v>101.54900000000001</v>
      </c>
      <c r="G520" s="11">
        <v>27.4</v>
      </c>
      <c r="H520" s="1" t="s">
        <v>0</v>
      </c>
      <c r="I520">
        <v>0</v>
      </c>
      <c r="J520" t="s">
        <v>6</v>
      </c>
      <c r="K520">
        <v>25.3</v>
      </c>
      <c r="L520">
        <v>29.9</v>
      </c>
      <c r="M520">
        <f t="shared" si="35"/>
        <v>0</v>
      </c>
    </row>
    <row r="521" spans="1:13" x14ac:dyDescent="0.2">
      <c r="A521" s="9">
        <v>43255</v>
      </c>
      <c r="B521">
        <f t="shared" si="32"/>
        <v>4</v>
      </c>
      <c r="C521">
        <f t="shared" si="33"/>
        <v>6</v>
      </c>
      <c r="D521">
        <f t="shared" si="34"/>
        <v>2018</v>
      </c>
      <c r="E521" s="11">
        <v>3.1309999999999998</v>
      </c>
      <c r="F521" s="11">
        <v>101.54900000000001</v>
      </c>
      <c r="G521" s="11">
        <v>27.4</v>
      </c>
      <c r="H521" s="1" t="s">
        <v>0</v>
      </c>
      <c r="I521">
        <v>0</v>
      </c>
      <c r="J521" t="s">
        <v>6</v>
      </c>
      <c r="K521" t="s">
        <v>6</v>
      </c>
      <c r="L521">
        <v>29</v>
      </c>
      <c r="M521">
        <f t="shared" si="35"/>
        <v>0</v>
      </c>
    </row>
    <row r="522" spans="1:13" x14ac:dyDescent="0.2">
      <c r="A522" s="9">
        <v>43256</v>
      </c>
      <c r="B522">
        <f t="shared" si="32"/>
        <v>5</v>
      </c>
      <c r="C522">
        <f t="shared" si="33"/>
        <v>6</v>
      </c>
      <c r="D522">
        <f t="shared" si="34"/>
        <v>2018</v>
      </c>
      <c r="E522" s="11">
        <v>3.1309999999999998</v>
      </c>
      <c r="F522" s="11">
        <v>101.54900000000001</v>
      </c>
      <c r="G522" s="11">
        <v>27.4</v>
      </c>
      <c r="H522" s="1" t="s">
        <v>0</v>
      </c>
      <c r="I522">
        <v>0.3</v>
      </c>
      <c r="J522" t="s">
        <v>6</v>
      </c>
      <c r="K522">
        <v>25.6</v>
      </c>
      <c r="L522">
        <v>29.3</v>
      </c>
      <c r="M522">
        <f t="shared" si="35"/>
        <v>1</v>
      </c>
    </row>
    <row r="523" spans="1:13" x14ac:dyDescent="0.2">
      <c r="A523" s="9">
        <v>43257</v>
      </c>
      <c r="B523">
        <f t="shared" si="32"/>
        <v>6</v>
      </c>
      <c r="C523">
        <f t="shared" si="33"/>
        <v>6</v>
      </c>
      <c r="D523">
        <f t="shared" si="34"/>
        <v>2018</v>
      </c>
      <c r="E523" s="11">
        <v>3.1309999999999998</v>
      </c>
      <c r="F523" s="11">
        <v>101.54900000000001</v>
      </c>
      <c r="G523" s="11">
        <v>27.4</v>
      </c>
      <c r="H523" s="1" t="s">
        <v>0</v>
      </c>
      <c r="I523">
        <v>0</v>
      </c>
      <c r="J523" t="s">
        <v>6</v>
      </c>
      <c r="K523">
        <v>25.5</v>
      </c>
      <c r="L523">
        <v>30</v>
      </c>
      <c r="M523">
        <f t="shared" si="35"/>
        <v>0</v>
      </c>
    </row>
    <row r="524" spans="1:13" x14ac:dyDescent="0.2">
      <c r="A524" s="9">
        <v>43258</v>
      </c>
      <c r="B524">
        <f t="shared" si="32"/>
        <v>7</v>
      </c>
      <c r="C524">
        <f t="shared" si="33"/>
        <v>6</v>
      </c>
      <c r="D524">
        <f t="shared" si="34"/>
        <v>2018</v>
      </c>
      <c r="E524" s="11">
        <v>3.1309999999999998</v>
      </c>
      <c r="F524" s="11">
        <v>101.54900000000001</v>
      </c>
      <c r="G524" s="11">
        <v>27.4</v>
      </c>
      <c r="H524" s="1" t="s">
        <v>0</v>
      </c>
      <c r="I524">
        <v>0</v>
      </c>
      <c r="J524" t="s">
        <v>6</v>
      </c>
      <c r="K524" t="s">
        <v>6</v>
      </c>
      <c r="L524">
        <v>29.2</v>
      </c>
      <c r="M524">
        <f t="shared" si="35"/>
        <v>0</v>
      </c>
    </row>
    <row r="525" spans="1:13" x14ac:dyDescent="0.2">
      <c r="A525" s="9">
        <v>43259</v>
      </c>
      <c r="B525">
        <f t="shared" si="32"/>
        <v>8</v>
      </c>
      <c r="C525">
        <f t="shared" si="33"/>
        <v>6</v>
      </c>
      <c r="D525">
        <f t="shared" si="34"/>
        <v>2018</v>
      </c>
      <c r="E525" s="11">
        <v>3.1309999999999998</v>
      </c>
      <c r="F525" s="11">
        <v>101.54900000000001</v>
      </c>
      <c r="G525" s="11">
        <v>27.4</v>
      </c>
      <c r="H525" s="1" t="s">
        <v>0</v>
      </c>
      <c r="I525">
        <v>0</v>
      </c>
      <c r="J525" t="s">
        <v>6</v>
      </c>
      <c r="K525" t="s">
        <v>6</v>
      </c>
      <c r="L525">
        <v>28.7</v>
      </c>
      <c r="M525">
        <f t="shared" si="35"/>
        <v>0</v>
      </c>
    </row>
    <row r="526" spans="1:13" x14ac:dyDescent="0.2">
      <c r="A526" s="9">
        <v>43260</v>
      </c>
      <c r="B526">
        <f t="shared" si="32"/>
        <v>9</v>
      </c>
      <c r="C526">
        <f t="shared" si="33"/>
        <v>6</v>
      </c>
      <c r="D526">
        <f t="shared" si="34"/>
        <v>2018</v>
      </c>
      <c r="E526" s="11">
        <v>3.1309999999999998</v>
      </c>
      <c r="F526" s="11">
        <v>101.54900000000001</v>
      </c>
      <c r="G526" s="11">
        <v>27.4</v>
      </c>
      <c r="H526" s="1" t="s">
        <v>0</v>
      </c>
      <c r="I526">
        <v>0</v>
      </c>
      <c r="J526" t="s">
        <v>6</v>
      </c>
      <c r="K526" t="s">
        <v>6</v>
      </c>
      <c r="L526">
        <v>29.3</v>
      </c>
      <c r="M526">
        <f t="shared" si="35"/>
        <v>0</v>
      </c>
    </row>
    <row r="527" spans="1:13" x14ac:dyDescent="0.2">
      <c r="A527" s="9">
        <v>43261</v>
      </c>
      <c r="B527">
        <f t="shared" si="32"/>
        <v>10</v>
      </c>
      <c r="C527">
        <f t="shared" si="33"/>
        <v>6</v>
      </c>
      <c r="D527">
        <f t="shared" si="34"/>
        <v>2018</v>
      </c>
      <c r="E527" s="11">
        <v>3.1309999999999998</v>
      </c>
      <c r="F527" s="11">
        <v>101.54900000000001</v>
      </c>
      <c r="G527" s="11">
        <v>27.4</v>
      </c>
      <c r="H527" s="1" t="s">
        <v>0</v>
      </c>
      <c r="I527">
        <v>0</v>
      </c>
      <c r="J527" t="s">
        <v>6</v>
      </c>
      <c r="K527">
        <v>24.9</v>
      </c>
      <c r="L527">
        <v>29.7</v>
      </c>
      <c r="M527">
        <f t="shared" si="35"/>
        <v>0</v>
      </c>
    </row>
    <row r="528" spans="1:13" x14ac:dyDescent="0.2">
      <c r="A528" s="9">
        <v>43262</v>
      </c>
      <c r="B528">
        <f t="shared" si="32"/>
        <v>11</v>
      </c>
      <c r="C528">
        <f t="shared" si="33"/>
        <v>6</v>
      </c>
      <c r="D528">
        <f t="shared" si="34"/>
        <v>2018</v>
      </c>
      <c r="E528" s="11">
        <v>3.1309999999999998</v>
      </c>
      <c r="F528" s="11">
        <v>101.54900000000001</v>
      </c>
      <c r="G528" s="11">
        <v>27.4</v>
      </c>
      <c r="H528" s="1" t="s">
        <v>0</v>
      </c>
      <c r="I528">
        <v>0</v>
      </c>
      <c r="J528" t="s">
        <v>6</v>
      </c>
      <c r="K528">
        <v>25.5</v>
      </c>
      <c r="L528">
        <v>30.3</v>
      </c>
      <c r="M528">
        <f t="shared" si="35"/>
        <v>0</v>
      </c>
    </row>
    <row r="529" spans="1:13" x14ac:dyDescent="0.2">
      <c r="A529" s="9">
        <v>43263</v>
      </c>
      <c r="B529">
        <f t="shared" si="32"/>
        <v>12</v>
      </c>
      <c r="C529">
        <f t="shared" si="33"/>
        <v>6</v>
      </c>
      <c r="D529">
        <f t="shared" si="34"/>
        <v>2018</v>
      </c>
      <c r="E529" s="11">
        <v>3.1309999999999998</v>
      </c>
      <c r="F529" s="11">
        <v>101.54900000000001</v>
      </c>
      <c r="G529" s="11">
        <v>27.4</v>
      </c>
      <c r="H529" s="1" t="s">
        <v>0</v>
      </c>
      <c r="I529">
        <v>0</v>
      </c>
      <c r="J529" t="s">
        <v>6</v>
      </c>
      <c r="K529">
        <v>26.4</v>
      </c>
      <c r="L529">
        <v>30.8</v>
      </c>
      <c r="M529">
        <f t="shared" si="35"/>
        <v>0</v>
      </c>
    </row>
    <row r="530" spans="1:13" x14ac:dyDescent="0.2">
      <c r="A530" s="9">
        <v>43264</v>
      </c>
      <c r="B530">
        <f t="shared" si="32"/>
        <v>13</v>
      </c>
      <c r="C530">
        <f t="shared" si="33"/>
        <v>6</v>
      </c>
      <c r="D530">
        <f t="shared" si="34"/>
        <v>2018</v>
      </c>
      <c r="E530" s="11">
        <v>3.1309999999999998</v>
      </c>
      <c r="F530" s="11">
        <v>101.54900000000001</v>
      </c>
      <c r="G530" s="11">
        <v>27.4</v>
      </c>
      <c r="H530" s="1" t="s">
        <v>0</v>
      </c>
      <c r="I530" t="s">
        <v>6</v>
      </c>
      <c r="J530" t="s">
        <v>6</v>
      </c>
      <c r="K530" t="s">
        <v>6</v>
      </c>
      <c r="L530">
        <v>27.8</v>
      </c>
      <c r="M530" t="str">
        <f t="shared" si="35"/>
        <v/>
      </c>
    </row>
    <row r="531" spans="1:13" x14ac:dyDescent="0.2">
      <c r="A531" s="9">
        <v>43265</v>
      </c>
      <c r="B531">
        <f t="shared" si="32"/>
        <v>14</v>
      </c>
      <c r="C531">
        <f t="shared" si="33"/>
        <v>6</v>
      </c>
      <c r="D531">
        <f t="shared" si="34"/>
        <v>2018</v>
      </c>
      <c r="E531" s="11">
        <v>3.1309999999999998</v>
      </c>
      <c r="F531" s="11">
        <v>101.54900000000001</v>
      </c>
      <c r="G531" s="11">
        <v>27.4</v>
      </c>
      <c r="H531" s="1" t="s">
        <v>0</v>
      </c>
      <c r="I531" t="s">
        <v>6</v>
      </c>
      <c r="J531" t="s">
        <v>6</v>
      </c>
      <c r="K531" t="s">
        <v>6</v>
      </c>
      <c r="L531">
        <v>29.1</v>
      </c>
      <c r="M531" t="str">
        <f t="shared" si="35"/>
        <v/>
      </c>
    </row>
    <row r="532" spans="1:13" x14ac:dyDescent="0.2">
      <c r="A532" s="9">
        <v>43266</v>
      </c>
      <c r="B532">
        <f t="shared" si="32"/>
        <v>15</v>
      </c>
      <c r="C532">
        <f t="shared" si="33"/>
        <v>6</v>
      </c>
      <c r="D532">
        <f t="shared" si="34"/>
        <v>2018</v>
      </c>
      <c r="E532" s="11">
        <v>3.1309999999999998</v>
      </c>
      <c r="F532" s="11">
        <v>101.54900000000001</v>
      </c>
      <c r="G532" s="11">
        <v>27.4</v>
      </c>
      <c r="H532" s="1" t="s">
        <v>0</v>
      </c>
      <c r="I532">
        <v>2.5</v>
      </c>
      <c r="J532" t="s">
        <v>6</v>
      </c>
      <c r="K532">
        <v>23.8</v>
      </c>
      <c r="L532">
        <v>28.7</v>
      </c>
      <c r="M532">
        <f t="shared" si="35"/>
        <v>1</v>
      </c>
    </row>
    <row r="533" spans="1:13" x14ac:dyDescent="0.2">
      <c r="A533" s="9">
        <v>43267</v>
      </c>
      <c r="B533">
        <f t="shared" si="32"/>
        <v>16</v>
      </c>
      <c r="C533">
        <f t="shared" si="33"/>
        <v>6</v>
      </c>
      <c r="D533">
        <f t="shared" si="34"/>
        <v>2018</v>
      </c>
      <c r="E533" s="11">
        <v>3.1309999999999998</v>
      </c>
      <c r="F533" s="11">
        <v>101.54900000000001</v>
      </c>
      <c r="G533" s="11">
        <v>27.4</v>
      </c>
      <c r="H533" s="1" t="s">
        <v>0</v>
      </c>
      <c r="I533">
        <v>0</v>
      </c>
      <c r="J533" t="s">
        <v>6</v>
      </c>
      <c r="K533" t="s">
        <v>6</v>
      </c>
      <c r="L533">
        <v>29.2</v>
      </c>
      <c r="M533">
        <f t="shared" si="35"/>
        <v>0</v>
      </c>
    </row>
    <row r="534" spans="1:13" x14ac:dyDescent="0.2">
      <c r="A534" s="9">
        <v>43268</v>
      </c>
      <c r="B534">
        <f t="shared" si="32"/>
        <v>17</v>
      </c>
      <c r="C534">
        <f t="shared" si="33"/>
        <v>6</v>
      </c>
      <c r="D534">
        <f t="shared" si="34"/>
        <v>2018</v>
      </c>
      <c r="E534" s="11">
        <v>3.1309999999999998</v>
      </c>
      <c r="F534" s="11">
        <v>101.54900000000001</v>
      </c>
      <c r="G534" s="11">
        <v>27.4</v>
      </c>
      <c r="H534" s="1" t="s">
        <v>0</v>
      </c>
      <c r="I534" t="s">
        <v>6</v>
      </c>
      <c r="J534" t="s">
        <v>6</v>
      </c>
      <c r="K534">
        <v>23</v>
      </c>
      <c r="L534">
        <v>26.1</v>
      </c>
      <c r="M534" t="str">
        <f t="shared" si="35"/>
        <v/>
      </c>
    </row>
    <row r="535" spans="1:13" x14ac:dyDescent="0.2">
      <c r="A535" s="9">
        <v>43269</v>
      </c>
      <c r="B535">
        <f t="shared" si="32"/>
        <v>18</v>
      </c>
      <c r="C535">
        <f t="shared" si="33"/>
        <v>6</v>
      </c>
      <c r="D535">
        <f t="shared" si="34"/>
        <v>2018</v>
      </c>
      <c r="E535" s="11">
        <v>3.1309999999999998</v>
      </c>
      <c r="F535" s="11">
        <v>101.54900000000001</v>
      </c>
      <c r="G535" s="11">
        <v>27.4</v>
      </c>
      <c r="H535" s="1" t="s">
        <v>0</v>
      </c>
      <c r="I535" t="s">
        <v>6</v>
      </c>
      <c r="J535" t="s">
        <v>6</v>
      </c>
      <c r="K535">
        <v>22.9</v>
      </c>
      <c r="L535">
        <v>27.4</v>
      </c>
      <c r="M535" t="str">
        <f t="shared" si="35"/>
        <v/>
      </c>
    </row>
    <row r="536" spans="1:13" x14ac:dyDescent="0.2">
      <c r="A536" s="9">
        <v>43270</v>
      </c>
      <c r="B536">
        <f t="shared" si="32"/>
        <v>19</v>
      </c>
      <c r="C536">
        <f t="shared" si="33"/>
        <v>6</v>
      </c>
      <c r="D536">
        <f t="shared" si="34"/>
        <v>2018</v>
      </c>
      <c r="E536" s="11">
        <v>3.1309999999999998</v>
      </c>
      <c r="F536" s="11">
        <v>101.54900000000001</v>
      </c>
      <c r="G536" s="11">
        <v>27.4</v>
      </c>
      <c r="H536" s="1" t="s">
        <v>0</v>
      </c>
      <c r="I536" t="s">
        <v>6</v>
      </c>
      <c r="J536" t="s">
        <v>6</v>
      </c>
      <c r="K536">
        <v>24.3</v>
      </c>
      <c r="L536">
        <v>28.3</v>
      </c>
      <c r="M536" t="str">
        <f t="shared" si="35"/>
        <v/>
      </c>
    </row>
    <row r="537" spans="1:13" x14ac:dyDescent="0.2">
      <c r="A537" s="9">
        <v>43271</v>
      </c>
      <c r="B537">
        <f t="shared" si="32"/>
        <v>20</v>
      </c>
      <c r="C537">
        <f t="shared" si="33"/>
        <v>6</v>
      </c>
      <c r="D537">
        <f t="shared" si="34"/>
        <v>2018</v>
      </c>
      <c r="E537" s="11">
        <v>3.1309999999999998</v>
      </c>
      <c r="F537" s="11">
        <v>101.54900000000001</v>
      </c>
      <c r="G537" s="11">
        <v>27.4</v>
      </c>
      <c r="H537" s="1" t="s">
        <v>0</v>
      </c>
      <c r="I537">
        <v>0</v>
      </c>
      <c r="J537" t="s">
        <v>6</v>
      </c>
      <c r="K537">
        <v>25.4</v>
      </c>
      <c r="L537">
        <v>28.7</v>
      </c>
      <c r="M537">
        <f t="shared" si="35"/>
        <v>0</v>
      </c>
    </row>
    <row r="538" spans="1:13" x14ac:dyDescent="0.2">
      <c r="A538" s="9">
        <v>43272</v>
      </c>
      <c r="B538">
        <f t="shared" si="32"/>
        <v>21</v>
      </c>
      <c r="C538">
        <f t="shared" si="33"/>
        <v>6</v>
      </c>
      <c r="D538">
        <f t="shared" si="34"/>
        <v>2018</v>
      </c>
      <c r="E538" s="11">
        <v>3.1309999999999998</v>
      </c>
      <c r="F538" s="11">
        <v>101.54900000000001</v>
      </c>
      <c r="G538" s="11">
        <v>27.4</v>
      </c>
      <c r="H538" s="1" t="s">
        <v>0</v>
      </c>
      <c r="I538">
        <v>0</v>
      </c>
      <c r="J538" t="s">
        <v>6</v>
      </c>
      <c r="K538">
        <v>25.6</v>
      </c>
      <c r="L538">
        <v>29.3</v>
      </c>
      <c r="M538">
        <f t="shared" si="35"/>
        <v>0</v>
      </c>
    </row>
    <row r="539" spans="1:13" x14ac:dyDescent="0.2">
      <c r="A539" s="9">
        <v>43273</v>
      </c>
      <c r="B539">
        <f t="shared" si="32"/>
        <v>22</v>
      </c>
      <c r="C539">
        <f t="shared" si="33"/>
        <v>6</v>
      </c>
      <c r="D539">
        <f t="shared" si="34"/>
        <v>2018</v>
      </c>
      <c r="E539" s="11">
        <v>3.1309999999999998</v>
      </c>
      <c r="F539" s="11">
        <v>101.54900000000001</v>
      </c>
      <c r="G539" s="11">
        <v>27.4</v>
      </c>
      <c r="H539" s="1" t="s">
        <v>0</v>
      </c>
      <c r="I539">
        <v>0.5</v>
      </c>
      <c r="J539" t="s">
        <v>6</v>
      </c>
      <c r="K539" t="s">
        <v>6</v>
      </c>
      <c r="L539">
        <v>26.9</v>
      </c>
      <c r="M539">
        <f t="shared" si="35"/>
        <v>1</v>
      </c>
    </row>
    <row r="540" spans="1:13" x14ac:dyDescent="0.2">
      <c r="A540" s="9">
        <v>43274</v>
      </c>
      <c r="B540">
        <f t="shared" si="32"/>
        <v>23</v>
      </c>
      <c r="C540">
        <f t="shared" si="33"/>
        <v>6</v>
      </c>
      <c r="D540">
        <f t="shared" si="34"/>
        <v>2018</v>
      </c>
      <c r="E540" s="11">
        <v>3.1309999999999998</v>
      </c>
      <c r="F540" s="11">
        <v>101.54900000000001</v>
      </c>
      <c r="G540" s="11">
        <v>27.4</v>
      </c>
      <c r="H540" s="1" t="s">
        <v>0</v>
      </c>
      <c r="I540">
        <v>101.1</v>
      </c>
      <c r="J540" t="s">
        <v>6</v>
      </c>
      <c r="K540" t="s">
        <v>6</v>
      </c>
      <c r="L540">
        <v>24.4</v>
      </c>
      <c r="M540">
        <f t="shared" si="35"/>
        <v>1</v>
      </c>
    </row>
    <row r="541" spans="1:13" x14ac:dyDescent="0.2">
      <c r="A541" s="9">
        <v>43275</v>
      </c>
      <c r="B541">
        <f t="shared" si="32"/>
        <v>24</v>
      </c>
      <c r="C541">
        <f t="shared" si="33"/>
        <v>6</v>
      </c>
      <c r="D541">
        <f t="shared" si="34"/>
        <v>2018</v>
      </c>
      <c r="E541" s="11">
        <v>3.1309999999999998</v>
      </c>
      <c r="F541" s="11">
        <v>101.54900000000001</v>
      </c>
      <c r="G541" s="11">
        <v>27.4</v>
      </c>
      <c r="H541" s="1" t="s">
        <v>0</v>
      </c>
      <c r="I541">
        <v>43.9</v>
      </c>
      <c r="J541" t="s">
        <v>6</v>
      </c>
      <c r="K541">
        <v>23.2</v>
      </c>
      <c r="L541">
        <v>27.3</v>
      </c>
      <c r="M541">
        <f t="shared" si="35"/>
        <v>1</v>
      </c>
    </row>
    <row r="542" spans="1:13" x14ac:dyDescent="0.2">
      <c r="A542" s="9">
        <v>43276</v>
      </c>
      <c r="B542">
        <f t="shared" si="32"/>
        <v>25</v>
      </c>
      <c r="C542">
        <f t="shared" si="33"/>
        <v>6</v>
      </c>
      <c r="D542">
        <f t="shared" si="34"/>
        <v>2018</v>
      </c>
      <c r="E542" s="11">
        <v>3.1309999999999998</v>
      </c>
      <c r="F542" s="11">
        <v>101.54900000000001</v>
      </c>
      <c r="G542" s="11">
        <v>27.4</v>
      </c>
      <c r="H542" s="1" t="s">
        <v>0</v>
      </c>
      <c r="I542">
        <v>0.5</v>
      </c>
      <c r="J542" t="s">
        <v>6</v>
      </c>
      <c r="K542">
        <v>23.8</v>
      </c>
      <c r="L542">
        <v>25.8</v>
      </c>
      <c r="M542">
        <f t="shared" si="35"/>
        <v>1</v>
      </c>
    </row>
    <row r="543" spans="1:13" x14ac:dyDescent="0.2">
      <c r="A543" s="9">
        <v>43277</v>
      </c>
      <c r="B543">
        <f t="shared" si="32"/>
        <v>26</v>
      </c>
      <c r="C543">
        <f t="shared" si="33"/>
        <v>6</v>
      </c>
      <c r="D543">
        <f t="shared" si="34"/>
        <v>2018</v>
      </c>
      <c r="E543" s="11">
        <v>3.1309999999999998</v>
      </c>
      <c r="F543" s="11">
        <v>101.54900000000001</v>
      </c>
      <c r="G543" s="11">
        <v>27.4</v>
      </c>
      <c r="H543" s="1" t="s">
        <v>0</v>
      </c>
      <c r="I543">
        <v>23.1</v>
      </c>
      <c r="J543" t="s">
        <v>6</v>
      </c>
      <c r="K543">
        <v>23.4</v>
      </c>
      <c r="L543">
        <v>27.6</v>
      </c>
      <c r="M543">
        <f t="shared" si="35"/>
        <v>1</v>
      </c>
    </row>
    <row r="544" spans="1:13" x14ac:dyDescent="0.2">
      <c r="A544" s="9">
        <v>43278</v>
      </c>
      <c r="B544">
        <f t="shared" si="32"/>
        <v>27</v>
      </c>
      <c r="C544">
        <f t="shared" si="33"/>
        <v>6</v>
      </c>
      <c r="D544">
        <f t="shared" si="34"/>
        <v>2018</v>
      </c>
      <c r="E544" s="11">
        <v>3.1309999999999998</v>
      </c>
      <c r="F544" s="11">
        <v>101.54900000000001</v>
      </c>
      <c r="G544" s="11">
        <v>27.4</v>
      </c>
      <c r="H544" s="1" t="s">
        <v>0</v>
      </c>
      <c r="I544">
        <v>0</v>
      </c>
      <c r="J544">
        <v>32</v>
      </c>
      <c r="K544">
        <v>24</v>
      </c>
      <c r="L544">
        <v>27.8</v>
      </c>
      <c r="M544">
        <f t="shared" si="35"/>
        <v>0</v>
      </c>
    </row>
    <row r="545" spans="1:13" x14ac:dyDescent="0.2">
      <c r="A545" s="9">
        <v>43279</v>
      </c>
      <c r="B545">
        <f t="shared" si="32"/>
        <v>28</v>
      </c>
      <c r="C545">
        <f t="shared" si="33"/>
        <v>6</v>
      </c>
      <c r="D545">
        <f t="shared" si="34"/>
        <v>2018</v>
      </c>
      <c r="E545" s="11">
        <v>3.1309999999999998</v>
      </c>
      <c r="F545" s="11">
        <v>101.54900000000001</v>
      </c>
      <c r="G545" s="11">
        <v>27.4</v>
      </c>
      <c r="H545" s="1" t="s">
        <v>0</v>
      </c>
      <c r="I545">
        <v>0</v>
      </c>
      <c r="J545" t="s">
        <v>6</v>
      </c>
      <c r="K545">
        <v>24.5</v>
      </c>
      <c r="L545">
        <v>28.8</v>
      </c>
      <c r="M545">
        <f t="shared" si="35"/>
        <v>0</v>
      </c>
    </row>
    <row r="546" spans="1:13" x14ac:dyDescent="0.2">
      <c r="A546" s="9">
        <v>43280</v>
      </c>
      <c r="B546">
        <f t="shared" si="32"/>
        <v>29</v>
      </c>
      <c r="C546">
        <f t="shared" si="33"/>
        <v>6</v>
      </c>
      <c r="D546">
        <f t="shared" si="34"/>
        <v>2018</v>
      </c>
      <c r="E546" s="11">
        <v>3.1309999999999998</v>
      </c>
      <c r="F546" s="11">
        <v>101.54900000000001</v>
      </c>
      <c r="G546" s="11">
        <v>27.4</v>
      </c>
      <c r="H546" s="1" t="s">
        <v>0</v>
      </c>
      <c r="I546">
        <v>0</v>
      </c>
      <c r="J546" t="s">
        <v>6</v>
      </c>
      <c r="K546" t="s">
        <v>6</v>
      </c>
      <c r="L546">
        <v>25.8</v>
      </c>
      <c r="M546">
        <f t="shared" si="35"/>
        <v>0</v>
      </c>
    </row>
    <row r="547" spans="1:13" x14ac:dyDescent="0.2">
      <c r="A547" s="9">
        <v>43281</v>
      </c>
      <c r="B547">
        <f t="shared" si="32"/>
        <v>30</v>
      </c>
      <c r="C547">
        <f t="shared" si="33"/>
        <v>6</v>
      </c>
      <c r="D547">
        <f t="shared" si="34"/>
        <v>2018</v>
      </c>
      <c r="E547" s="11">
        <v>3.1309999999999998</v>
      </c>
      <c r="F547" s="11">
        <v>101.54900000000001</v>
      </c>
      <c r="G547" s="11">
        <v>27.4</v>
      </c>
      <c r="H547" s="1" t="s">
        <v>0</v>
      </c>
      <c r="I547">
        <v>0</v>
      </c>
      <c r="J547" t="s">
        <v>6</v>
      </c>
      <c r="K547">
        <v>23.8</v>
      </c>
      <c r="L547">
        <v>28.5</v>
      </c>
      <c r="M547">
        <f t="shared" si="35"/>
        <v>0</v>
      </c>
    </row>
    <row r="548" spans="1:13" x14ac:dyDescent="0.2">
      <c r="A548" s="9">
        <v>43282</v>
      </c>
      <c r="B548">
        <f t="shared" si="32"/>
        <v>1</v>
      </c>
      <c r="C548">
        <f t="shared" si="33"/>
        <v>7</v>
      </c>
      <c r="D548">
        <f t="shared" si="34"/>
        <v>2018</v>
      </c>
      <c r="E548" s="11">
        <v>3.1309999999999998</v>
      </c>
      <c r="F548" s="11">
        <v>101.54900000000001</v>
      </c>
      <c r="G548" s="11">
        <v>27.4</v>
      </c>
      <c r="H548" s="1" t="s">
        <v>0</v>
      </c>
      <c r="I548" t="s">
        <v>6</v>
      </c>
      <c r="J548" t="s">
        <v>6</v>
      </c>
      <c r="K548" t="s">
        <v>6</v>
      </c>
      <c r="L548">
        <v>27.1</v>
      </c>
      <c r="M548" t="str">
        <f t="shared" si="35"/>
        <v/>
      </c>
    </row>
    <row r="549" spans="1:13" x14ac:dyDescent="0.2">
      <c r="A549" s="9">
        <v>43283</v>
      </c>
      <c r="B549">
        <f t="shared" si="32"/>
        <v>2</v>
      </c>
      <c r="C549">
        <f t="shared" si="33"/>
        <v>7</v>
      </c>
      <c r="D549">
        <f t="shared" si="34"/>
        <v>2018</v>
      </c>
      <c r="E549" s="11">
        <v>3.1309999999999998</v>
      </c>
      <c r="F549" s="11">
        <v>101.54900000000001</v>
      </c>
      <c r="G549" s="11">
        <v>27.4</v>
      </c>
      <c r="H549" s="1" t="s">
        <v>0</v>
      </c>
      <c r="I549">
        <v>44.2</v>
      </c>
      <c r="J549" t="s">
        <v>6</v>
      </c>
      <c r="K549">
        <v>21.3</v>
      </c>
      <c r="L549">
        <v>26.8</v>
      </c>
      <c r="M549">
        <f t="shared" si="35"/>
        <v>1</v>
      </c>
    </row>
    <row r="550" spans="1:13" x14ac:dyDescent="0.2">
      <c r="A550" s="9">
        <v>43284</v>
      </c>
      <c r="B550">
        <f t="shared" si="32"/>
        <v>3</v>
      </c>
      <c r="C550">
        <f t="shared" si="33"/>
        <v>7</v>
      </c>
      <c r="D550">
        <f t="shared" si="34"/>
        <v>2018</v>
      </c>
      <c r="E550" s="11">
        <v>3.1309999999999998</v>
      </c>
      <c r="F550" s="11">
        <v>101.54900000000001</v>
      </c>
      <c r="G550" s="11">
        <v>27.4</v>
      </c>
      <c r="H550" s="1" t="s">
        <v>0</v>
      </c>
      <c r="I550">
        <v>1</v>
      </c>
      <c r="J550">
        <v>30.7</v>
      </c>
      <c r="K550">
        <v>22.2</v>
      </c>
      <c r="L550">
        <v>25.4</v>
      </c>
      <c r="M550">
        <f t="shared" si="35"/>
        <v>1</v>
      </c>
    </row>
    <row r="551" spans="1:13" x14ac:dyDescent="0.2">
      <c r="A551" s="9">
        <v>43285</v>
      </c>
      <c r="B551">
        <f t="shared" si="32"/>
        <v>4</v>
      </c>
      <c r="C551">
        <f t="shared" si="33"/>
        <v>7</v>
      </c>
      <c r="D551">
        <f t="shared" si="34"/>
        <v>2018</v>
      </c>
      <c r="E551" s="11">
        <v>3.1309999999999998</v>
      </c>
      <c r="F551" s="11">
        <v>101.54900000000001</v>
      </c>
      <c r="G551" s="11">
        <v>27.4</v>
      </c>
      <c r="H551" s="1" t="s">
        <v>0</v>
      </c>
      <c r="I551">
        <v>5.3</v>
      </c>
      <c r="J551">
        <v>33</v>
      </c>
      <c r="K551">
        <v>23.5</v>
      </c>
      <c r="L551">
        <v>27.9</v>
      </c>
      <c r="M551">
        <f t="shared" si="35"/>
        <v>1</v>
      </c>
    </row>
    <row r="552" spans="1:13" x14ac:dyDescent="0.2">
      <c r="A552" s="9">
        <v>43286</v>
      </c>
      <c r="B552">
        <f t="shared" si="32"/>
        <v>5</v>
      </c>
      <c r="C552">
        <f t="shared" si="33"/>
        <v>7</v>
      </c>
      <c r="D552">
        <f t="shared" si="34"/>
        <v>2018</v>
      </c>
      <c r="E552" s="11">
        <v>3.1309999999999998</v>
      </c>
      <c r="F552" s="11">
        <v>101.54900000000001</v>
      </c>
      <c r="G552" s="11">
        <v>27.4</v>
      </c>
      <c r="H552" s="1" t="s">
        <v>0</v>
      </c>
      <c r="I552">
        <v>0</v>
      </c>
      <c r="J552">
        <v>32.799999999999997</v>
      </c>
      <c r="K552" t="s">
        <v>6</v>
      </c>
      <c r="L552">
        <v>28.3</v>
      </c>
      <c r="M552">
        <f t="shared" si="35"/>
        <v>0</v>
      </c>
    </row>
    <row r="553" spans="1:13" x14ac:dyDescent="0.2">
      <c r="A553" s="9">
        <v>43287</v>
      </c>
      <c r="B553">
        <f t="shared" si="32"/>
        <v>6</v>
      </c>
      <c r="C553">
        <f t="shared" si="33"/>
        <v>7</v>
      </c>
      <c r="D553">
        <f t="shared" si="34"/>
        <v>2018</v>
      </c>
      <c r="E553" s="11">
        <v>3.1309999999999998</v>
      </c>
      <c r="F553" s="11">
        <v>101.54900000000001</v>
      </c>
      <c r="G553" s="11">
        <v>27.4</v>
      </c>
      <c r="H553" s="1" t="s">
        <v>0</v>
      </c>
      <c r="I553">
        <v>5.3</v>
      </c>
      <c r="J553" t="s">
        <v>6</v>
      </c>
      <c r="K553">
        <v>22.5</v>
      </c>
      <c r="L553">
        <v>27.2</v>
      </c>
      <c r="M553">
        <f t="shared" si="35"/>
        <v>1</v>
      </c>
    </row>
    <row r="554" spans="1:13" x14ac:dyDescent="0.2">
      <c r="A554" s="9">
        <v>43288</v>
      </c>
      <c r="B554">
        <f t="shared" si="32"/>
        <v>7</v>
      </c>
      <c r="C554">
        <f t="shared" si="33"/>
        <v>7</v>
      </c>
      <c r="D554">
        <f t="shared" si="34"/>
        <v>2018</v>
      </c>
      <c r="E554" s="11">
        <v>3.1309999999999998</v>
      </c>
      <c r="F554" s="11">
        <v>101.54900000000001</v>
      </c>
      <c r="G554" s="11">
        <v>27.4</v>
      </c>
      <c r="H554" s="1" t="s">
        <v>0</v>
      </c>
      <c r="I554">
        <v>0</v>
      </c>
      <c r="J554" t="s">
        <v>6</v>
      </c>
      <c r="K554">
        <v>23.2</v>
      </c>
      <c r="L554">
        <v>28.4</v>
      </c>
      <c r="M554">
        <f t="shared" si="35"/>
        <v>0</v>
      </c>
    </row>
    <row r="555" spans="1:13" x14ac:dyDescent="0.2">
      <c r="A555" s="9">
        <v>43289</v>
      </c>
      <c r="B555">
        <f t="shared" si="32"/>
        <v>8</v>
      </c>
      <c r="C555">
        <f t="shared" si="33"/>
        <v>7</v>
      </c>
      <c r="D555">
        <f t="shared" si="34"/>
        <v>2018</v>
      </c>
      <c r="E555" s="11">
        <v>3.1309999999999998</v>
      </c>
      <c r="F555" s="11">
        <v>101.54900000000001</v>
      </c>
      <c r="G555" s="11">
        <v>27.4</v>
      </c>
      <c r="H555" s="1" t="s">
        <v>0</v>
      </c>
      <c r="I555">
        <v>0</v>
      </c>
      <c r="J555" t="s">
        <v>6</v>
      </c>
      <c r="K555">
        <v>24.8</v>
      </c>
      <c r="L555">
        <v>28</v>
      </c>
      <c r="M555">
        <f t="shared" si="35"/>
        <v>0</v>
      </c>
    </row>
    <row r="556" spans="1:13" x14ac:dyDescent="0.2">
      <c r="A556" s="9">
        <v>43290</v>
      </c>
      <c r="B556">
        <f t="shared" si="32"/>
        <v>9</v>
      </c>
      <c r="C556">
        <f t="shared" si="33"/>
        <v>7</v>
      </c>
      <c r="D556">
        <f t="shared" si="34"/>
        <v>2018</v>
      </c>
      <c r="E556" s="11">
        <v>3.1309999999999998</v>
      </c>
      <c r="F556" s="11">
        <v>101.54900000000001</v>
      </c>
      <c r="G556" s="11">
        <v>27.4</v>
      </c>
      <c r="H556" s="1" t="s">
        <v>0</v>
      </c>
      <c r="I556">
        <v>0</v>
      </c>
      <c r="J556" t="s">
        <v>6</v>
      </c>
      <c r="K556" t="s">
        <v>6</v>
      </c>
      <c r="L556">
        <v>26.7</v>
      </c>
      <c r="M556">
        <f t="shared" si="35"/>
        <v>0</v>
      </c>
    </row>
    <row r="557" spans="1:13" x14ac:dyDescent="0.2">
      <c r="A557" s="9">
        <v>43291</v>
      </c>
      <c r="B557">
        <f t="shared" si="32"/>
        <v>10</v>
      </c>
      <c r="C557">
        <f t="shared" si="33"/>
        <v>7</v>
      </c>
      <c r="D557">
        <f t="shared" si="34"/>
        <v>2018</v>
      </c>
      <c r="E557" s="11">
        <v>3.1309999999999998</v>
      </c>
      <c r="F557" s="11">
        <v>101.54900000000001</v>
      </c>
      <c r="G557" s="11">
        <v>27.4</v>
      </c>
      <c r="H557" s="1" t="s">
        <v>0</v>
      </c>
      <c r="I557">
        <v>0.3</v>
      </c>
      <c r="J557" t="s">
        <v>6</v>
      </c>
      <c r="K557">
        <v>24.8</v>
      </c>
      <c r="L557">
        <v>27.4</v>
      </c>
      <c r="M557">
        <f t="shared" si="35"/>
        <v>1</v>
      </c>
    </row>
    <row r="558" spans="1:13" x14ac:dyDescent="0.2">
      <c r="A558" s="9">
        <v>43292</v>
      </c>
      <c r="B558">
        <f t="shared" si="32"/>
        <v>11</v>
      </c>
      <c r="C558">
        <f t="shared" si="33"/>
        <v>7</v>
      </c>
      <c r="D558">
        <f t="shared" si="34"/>
        <v>2018</v>
      </c>
      <c r="E558" s="11">
        <v>3.1309999999999998</v>
      </c>
      <c r="F558" s="11">
        <v>101.54900000000001</v>
      </c>
      <c r="G558" s="11">
        <v>27.4</v>
      </c>
      <c r="H558" s="1" t="s">
        <v>0</v>
      </c>
      <c r="I558">
        <v>0</v>
      </c>
      <c r="J558" t="s">
        <v>6</v>
      </c>
      <c r="K558">
        <v>25.4</v>
      </c>
      <c r="L558">
        <v>28.3</v>
      </c>
      <c r="M558">
        <f t="shared" si="35"/>
        <v>0</v>
      </c>
    </row>
    <row r="559" spans="1:13" x14ac:dyDescent="0.2">
      <c r="A559" s="9">
        <v>43293</v>
      </c>
      <c r="B559">
        <f t="shared" si="32"/>
        <v>12</v>
      </c>
      <c r="C559">
        <f t="shared" si="33"/>
        <v>7</v>
      </c>
      <c r="D559">
        <f t="shared" si="34"/>
        <v>2018</v>
      </c>
      <c r="E559" s="11">
        <v>3.1309999999999998</v>
      </c>
      <c r="F559" s="11">
        <v>101.54900000000001</v>
      </c>
      <c r="G559" s="11">
        <v>27.4</v>
      </c>
      <c r="H559" s="1" t="s">
        <v>0</v>
      </c>
      <c r="I559">
        <v>0</v>
      </c>
      <c r="J559" t="s">
        <v>6</v>
      </c>
      <c r="K559" t="s">
        <v>6</v>
      </c>
      <c r="L559">
        <v>28.1</v>
      </c>
      <c r="M559">
        <f t="shared" si="35"/>
        <v>0</v>
      </c>
    </row>
    <row r="560" spans="1:13" x14ac:dyDescent="0.2">
      <c r="A560" s="9">
        <v>43294</v>
      </c>
      <c r="B560">
        <f t="shared" si="32"/>
        <v>13</v>
      </c>
      <c r="C560">
        <f t="shared" si="33"/>
        <v>7</v>
      </c>
      <c r="D560">
        <f t="shared" si="34"/>
        <v>2018</v>
      </c>
      <c r="E560" s="11">
        <v>3.1309999999999998</v>
      </c>
      <c r="F560" s="11">
        <v>101.54900000000001</v>
      </c>
      <c r="G560" s="11">
        <v>27.4</v>
      </c>
      <c r="H560" s="1" t="s">
        <v>0</v>
      </c>
      <c r="I560">
        <v>0</v>
      </c>
      <c r="J560" t="s">
        <v>6</v>
      </c>
      <c r="K560">
        <v>24.6</v>
      </c>
      <c r="L560">
        <v>28.8</v>
      </c>
      <c r="M560">
        <f t="shared" si="35"/>
        <v>0</v>
      </c>
    </row>
    <row r="561" spans="1:13" x14ac:dyDescent="0.2">
      <c r="A561" s="9">
        <v>43295</v>
      </c>
      <c r="B561">
        <f t="shared" si="32"/>
        <v>14</v>
      </c>
      <c r="C561">
        <f t="shared" si="33"/>
        <v>7</v>
      </c>
      <c r="D561">
        <f t="shared" si="34"/>
        <v>2018</v>
      </c>
      <c r="E561" s="11">
        <v>3.1309999999999998</v>
      </c>
      <c r="F561" s="11">
        <v>101.54900000000001</v>
      </c>
      <c r="G561" s="11">
        <v>27.4</v>
      </c>
      <c r="H561" s="1" t="s">
        <v>0</v>
      </c>
      <c r="I561">
        <v>0</v>
      </c>
      <c r="J561" t="s">
        <v>6</v>
      </c>
      <c r="K561">
        <v>24.9</v>
      </c>
      <c r="L561">
        <v>29</v>
      </c>
      <c r="M561">
        <f t="shared" si="35"/>
        <v>0</v>
      </c>
    </row>
    <row r="562" spans="1:13" x14ac:dyDescent="0.2">
      <c r="A562" s="9">
        <v>43296</v>
      </c>
      <c r="B562">
        <f t="shared" si="32"/>
        <v>15</v>
      </c>
      <c r="C562">
        <f t="shared" si="33"/>
        <v>7</v>
      </c>
      <c r="D562">
        <f t="shared" si="34"/>
        <v>2018</v>
      </c>
      <c r="E562" s="11">
        <v>3.1309999999999998</v>
      </c>
      <c r="F562" s="11">
        <v>101.54900000000001</v>
      </c>
      <c r="G562" s="11">
        <v>27.4</v>
      </c>
      <c r="H562" s="1" t="s">
        <v>0</v>
      </c>
      <c r="I562">
        <v>0</v>
      </c>
      <c r="J562" t="s">
        <v>6</v>
      </c>
      <c r="K562">
        <v>25.8</v>
      </c>
      <c r="L562">
        <v>29.5</v>
      </c>
      <c r="M562">
        <f t="shared" si="35"/>
        <v>0</v>
      </c>
    </row>
    <row r="563" spans="1:13" x14ac:dyDescent="0.2">
      <c r="A563" s="9">
        <v>43297</v>
      </c>
      <c r="B563">
        <f t="shared" si="32"/>
        <v>16</v>
      </c>
      <c r="C563">
        <f t="shared" si="33"/>
        <v>7</v>
      </c>
      <c r="D563">
        <f t="shared" si="34"/>
        <v>2018</v>
      </c>
      <c r="E563" s="11">
        <v>3.1309999999999998</v>
      </c>
      <c r="F563" s="11">
        <v>101.54900000000001</v>
      </c>
      <c r="G563" s="11">
        <v>27.4</v>
      </c>
      <c r="H563" s="1" t="s">
        <v>0</v>
      </c>
      <c r="I563">
        <v>0</v>
      </c>
      <c r="J563" t="s">
        <v>6</v>
      </c>
      <c r="K563">
        <v>25.7</v>
      </c>
      <c r="L563">
        <v>29.5</v>
      </c>
      <c r="M563">
        <f t="shared" si="35"/>
        <v>0</v>
      </c>
    </row>
    <row r="564" spans="1:13" x14ac:dyDescent="0.2">
      <c r="A564" s="9">
        <v>43298</v>
      </c>
      <c r="B564">
        <f t="shared" si="32"/>
        <v>17</v>
      </c>
      <c r="C564">
        <f t="shared" si="33"/>
        <v>7</v>
      </c>
      <c r="D564">
        <f t="shared" si="34"/>
        <v>2018</v>
      </c>
      <c r="E564" s="11">
        <v>3.1309999999999998</v>
      </c>
      <c r="F564" s="11">
        <v>101.54900000000001</v>
      </c>
      <c r="G564" s="11">
        <v>27.4</v>
      </c>
      <c r="H564" s="1" t="s">
        <v>0</v>
      </c>
      <c r="I564">
        <v>0</v>
      </c>
      <c r="J564" t="s">
        <v>6</v>
      </c>
      <c r="K564">
        <v>25.5</v>
      </c>
      <c r="L564">
        <v>29.7</v>
      </c>
      <c r="M564">
        <f t="shared" si="35"/>
        <v>0</v>
      </c>
    </row>
    <row r="565" spans="1:13" x14ac:dyDescent="0.2">
      <c r="A565" s="9">
        <v>43299</v>
      </c>
      <c r="B565">
        <f t="shared" si="32"/>
        <v>18</v>
      </c>
      <c r="C565">
        <f t="shared" si="33"/>
        <v>7</v>
      </c>
      <c r="D565">
        <f t="shared" si="34"/>
        <v>2018</v>
      </c>
      <c r="E565" s="11">
        <v>3.1309999999999998</v>
      </c>
      <c r="F565" s="11">
        <v>101.54900000000001</v>
      </c>
      <c r="G565" s="11">
        <v>27.4</v>
      </c>
      <c r="H565" s="1" t="s">
        <v>0</v>
      </c>
      <c r="I565">
        <v>0</v>
      </c>
      <c r="J565" t="s">
        <v>6</v>
      </c>
      <c r="K565">
        <v>26.5</v>
      </c>
      <c r="L565">
        <v>29.4</v>
      </c>
      <c r="M565">
        <f t="shared" si="35"/>
        <v>0</v>
      </c>
    </row>
    <row r="566" spans="1:13" x14ac:dyDescent="0.2">
      <c r="A566" s="9">
        <v>43300</v>
      </c>
      <c r="B566">
        <f t="shared" si="32"/>
        <v>19</v>
      </c>
      <c r="C566">
        <f t="shared" si="33"/>
        <v>7</v>
      </c>
      <c r="D566">
        <f t="shared" si="34"/>
        <v>2018</v>
      </c>
      <c r="E566" s="11">
        <v>3.1309999999999998</v>
      </c>
      <c r="F566" s="11">
        <v>101.54900000000001</v>
      </c>
      <c r="G566" s="11">
        <v>27.4</v>
      </c>
      <c r="H566" s="1" t="s">
        <v>0</v>
      </c>
      <c r="I566">
        <v>0</v>
      </c>
      <c r="J566" t="s">
        <v>6</v>
      </c>
      <c r="K566" t="s">
        <v>6</v>
      </c>
      <c r="L566">
        <v>29.6</v>
      </c>
      <c r="M566">
        <f t="shared" si="35"/>
        <v>0</v>
      </c>
    </row>
    <row r="567" spans="1:13" x14ac:dyDescent="0.2">
      <c r="A567" s="9">
        <v>43301</v>
      </c>
      <c r="B567">
        <f t="shared" si="32"/>
        <v>20</v>
      </c>
      <c r="C567">
        <f t="shared" si="33"/>
        <v>7</v>
      </c>
      <c r="D567">
        <f t="shared" si="34"/>
        <v>2018</v>
      </c>
      <c r="E567" s="11">
        <v>3.1309999999999998</v>
      </c>
      <c r="F567" s="11">
        <v>101.54900000000001</v>
      </c>
      <c r="G567" s="11">
        <v>27.4</v>
      </c>
      <c r="H567" s="1" t="s">
        <v>0</v>
      </c>
      <c r="I567">
        <v>0</v>
      </c>
      <c r="J567" t="s">
        <v>6</v>
      </c>
      <c r="K567">
        <v>26.3</v>
      </c>
      <c r="L567">
        <v>29.6</v>
      </c>
      <c r="M567">
        <f t="shared" si="35"/>
        <v>0</v>
      </c>
    </row>
    <row r="568" spans="1:13" x14ac:dyDescent="0.2">
      <c r="A568" s="9">
        <v>43302</v>
      </c>
      <c r="B568">
        <f t="shared" si="32"/>
        <v>21</v>
      </c>
      <c r="C568">
        <f t="shared" si="33"/>
        <v>7</v>
      </c>
      <c r="D568">
        <f t="shared" si="34"/>
        <v>2018</v>
      </c>
      <c r="E568" s="11">
        <v>3.1309999999999998</v>
      </c>
      <c r="F568" s="11">
        <v>101.54900000000001</v>
      </c>
      <c r="G568" s="11">
        <v>27.4</v>
      </c>
      <c r="H568" s="1" t="s">
        <v>0</v>
      </c>
      <c r="I568">
        <v>0</v>
      </c>
      <c r="J568" t="s">
        <v>6</v>
      </c>
      <c r="K568" t="s">
        <v>6</v>
      </c>
      <c r="L568">
        <v>29.3</v>
      </c>
      <c r="M568">
        <f t="shared" si="35"/>
        <v>0</v>
      </c>
    </row>
    <row r="569" spans="1:13" x14ac:dyDescent="0.2">
      <c r="A569" s="9">
        <v>43303</v>
      </c>
      <c r="B569">
        <f t="shared" si="32"/>
        <v>22</v>
      </c>
      <c r="C569">
        <f t="shared" si="33"/>
        <v>7</v>
      </c>
      <c r="D569">
        <f t="shared" si="34"/>
        <v>2018</v>
      </c>
      <c r="E569" s="11">
        <v>3.1309999999999998</v>
      </c>
      <c r="F569" s="11">
        <v>101.54900000000001</v>
      </c>
      <c r="G569" s="11">
        <v>27.4</v>
      </c>
      <c r="H569" s="1" t="s">
        <v>0</v>
      </c>
      <c r="I569">
        <v>0</v>
      </c>
      <c r="J569" t="s">
        <v>6</v>
      </c>
      <c r="K569" t="s">
        <v>6</v>
      </c>
      <c r="L569">
        <v>28.6</v>
      </c>
      <c r="M569">
        <f t="shared" si="35"/>
        <v>0</v>
      </c>
    </row>
    <row r="570" spans="1:13" x14ac:dyDescent="0.2">
      <c r="A570" s="9">
        <v>43304</v>
      </c>
      <c r="B570">
        <f t="shared" si="32"/>
        <v>23</v>
      </c>
      <c r="C570">
        <f t="shared" si="33"/>
        <v>7</v>
      </c>
      <c r="D570">
        <f t="shared" si="34"/>
        <v>2018</v>
      </c>
      <c r="E570" s="11">
        <v>3.1309999999999998</v>
      </c>
      <c r="F570" s="11">
        <v>101.54900000000001</v>
      </c>
      <c r="G570" s="11">
        <v>27.4</v>
      </c>
      <c r="H570" s="1" t="s">
        <v>0</v>
      </c>
      <c r="I570">
        <v>0</v>
      </c>
      <c r="J570" t="s">
        <v>6</v>
      </c>
      <c r="K570" t="s">
        <v>6</v>
      </c>
      <c r="L570">
        <v>28</v>
      </c>
      <c r="M570">
        <f t="shared" si="35"/>
        <v>0</v>
      </c>
    </row>
    <row r="571" spans="1:13" x14ac:dyDescent="0.2">
      <c r="A571" s="9">
        <v>43305</v>
      </c>
      <c r="B571">
        <f t="shared" si="32"/>
        <v>24</v>
      </c>
      <c r="C571">
        <f t="shared" si="33"/>
        <v>7</v>
      </c>
      <c r="D571">
        <f t="shared" si="34"/>
        <v>2018</v>
      </c>
      <c r="E571" s="11">
        <v>3.1309999999999998</v>
      </c>
      <c r="F571" s="11">
        <v>101.54900000000001</v>
      </c>
      <c r="G571" s="11">
        <v>27.4</v>
      </c>
      <c r="H571" s="1" t="s">
        <v>0</v>
      </c>
      <c r="I571">
        <v>0</v>
      </c>
      <c r="J571" t="s">
        <v>6</v>
      </c>
      <c r="K571">
        <v>25.3</v>
      </c>
      <c r="L571">
        <v>28.3</v>
      </c>
      <c r="M571">
        <f t="shared" si="35"/>
        <v>0</v>
      </c>
    </row>
    <row r="572" spans="1:13" x14ac:dyDescent="0.2">
      <c r="A572" s="9">
        <v>43306</v>
      </c>
      <c r="B572">
        <f t="shared" si="32"/>
        <v>25</v>
      </c>
      <c r="C572">
        <f t="shared" si="33"/>
        <v>7</v>
      </c>
      <c r="D572">
        <f t="shared" si="34"/>
        <v>2018</v>
      </c>
      <c r="E572" s="11">
        <v>3.1309999999999998</v>
      </c>
      <c r="F572" s="11">
        <v>101.54900000000001</v>
      </c>
      <c r="G572" s="11">
        <v>27.4</v>
      </c>
      <c r="H572" s="1" t="s">
        <v>0</v>
      </c>
      <c r="I572">
        <v>0</v>
      </c>
      <c r="J572" t="s">
        <v>6</v>
      </c>
      <c r="K572" t="s">
        <v>6</v>
      </c>
      <c r="L572">
        <v>28.7</v>
      </c>
      <c r="M572">
        <f t="shared" si="35"/>
        <v>0</v>
      </c>
    </row>
    <row r="573" spans="1:13" x14ac:dyDescent="0.2">
      <c r="A573" s="9">
        <v>43307</v>
      </c>
      <c r="B573">
        <f t="shared" si="32"/>
        <v>26</v>
      </c>
      <c r="C573">
        <f t="shared" si="33"/>
        <v>7</v>
      </c>
      <c r="D573">
        <f t="shared" si="34"/>
        <v>2018</v>
      </c>
      <c r="E573" s="11">
        <v>3.1309999999999998</v>
      </c>
      <c r="F573" s="11">
        <v>101.54900000000001</v>
      </c>
      <c r="G573" s="11">
        <v>27.4</v>
      </c>
      <c r="H573" s="1" t="s">
        <v>0</v>
      </c>
      <c r="I573">
        <v>0</v>
      </c>
      <c r="J573" t="s">
        <v>6</v>
      </c>
      <c r="K573">
        <v>25.2</v>
      </c>
      <c r="L573">
        <v>29.7</v>
      </c>
      <c r="M573">
        <f t="shared" si="35"/>
        <v>0</v>
      </c>
    </row>
    <row r="574" spans="1:13" x14ac:dyDescent="0.2">
      <c r="A574" s="9">
        <v>43308</v>
      </c>
      <c r="B574">
        <f t="shared" si="32"/>
        <v>27</v>
      </c>
      <c r="C574">
        <f t="shared" si="33"/>
        <v>7</v>
      </c>
      <c r="D574">
        <f t="shared" si="34"/>
        <v>2018</v>
      </c>
      <c r="E574" s="11">
        <v>3.1309999999999998</v>
      </c>
      <c r="F574" s="11">
        <v>101.54900000000001</v>
      </c>
      <c r="G574" s="11">
        <v>27.4</v>
      </c>
      <c r="H574" s="1" t="s">
        <v>0</v>
      </c>
      <c r="I574">
        <v>0</v>
      </c>
      <c r="J574" t="s">
        <v>6</v>
      </c>
      <c r="K574">
        <v>25.7</v>
      </c>
      <c r="L574">
        <v>27.4</v>
      </c>
      <c r="M574">
        <f t="shared" si="35"/>
        <v>0</v>
      </c>
    </row>
    <row r="575" spans="1:13" x14ac:dyDescent="0.2">
      <c r="A575" s="9">
        <v>43309</v>
      </c>
      <c r="B575">
        <f t="shared" si="32"/>
        <v>28</v>
      </c>
      <c r="C575">
        <f t="shared" si="33"/>
        <v>7</v>
      </c>
      <c r="D575">
        <f t="shared" si="34"/>
        <v>2018</v>
      </c>
      <c r="E575" s="11">
        <v>3.1309999999999998</v>
      </c>
      <c r="F575" s="11">
        <v>101.54900000000001</v>
      </c>
      <c r="G575" s="11">
        <v>27.4</v>
      </c>
      <c r="H575" s="1" t="s">
        <v>0</v>
      </c>
      <c r="I575">
        <v>4.0999999999999996</v>
      </c>
      <c r="J575" t="s">
        <v>6</v>
      </c>
      <c r="K575">
        <v>25.5</v>
      </c>
      <c r="L575">
        <v>28.4</v>
      </c>
      <c r="M575">
        <f t="shared" si="35"/>
        <v>1</v>
      </c>
    </row>
    <row r="576" spans="1:13" x14ac:dyDescent="0.2">
      <c r="A576" s="9">
        <v>43310</v>
      </c>
      <c r="B576">
        <f t="shared" si="32"/>
        <v>29</v>
      </c>
      <c r="C576">
        <f t="shared" si="33"/>
        <v>7</v>
      </c>
      <c r="D576">
        <f t="shared" si="34"/>
        <v>2018</v>
      </c>
      <c r="E576" s="11">
        <v>3.1309999999999998</v>
      </c>
      <c r="F576" s="11">
        <v>101.54900000000001</v>
      </c>
      <c r="G576" s="11">
        <v>27.4</v>
      </c>
      <c r="H576" s="1" t="s">
        <v>0</v>
      </c>
      <c r="I576">
        <v>5.3</v>
      </c>
      <c r="J576" t="s">
        <v>6</v>
      </c>
      <c r="K576" t="s">
        <v>6</v>
      </c>
      <c r="L576">
        <v>28.4</v>
      </c>
      <c r="M576">
        <f t="shared" si="35"/>
        <v>1</v>
      </c>
    </row>
    <row r="577" spans="1:13" x14ac:dyDescent="0.2">
      <c r="A577" s="9">
        <v>43311</v>
      </c>
      <c r="B577">
        <f t="shared" si="32"/>
        <v>30</v>
      </c>
      <c r="C577">
        <f t="shared" si="33"/>
        <v>7</v>
      </c>
      <c r="D577">
        <f t="shared" si="34"/>
        <v>2018</v>
      </c>
      <c r="E577" s="11">
        <v>3.1309999999999998</v>
      </c>
      <c r="F577" s="11">
        <v>101.54900000000001</v>
      </c>
      <c r="G577" s="11">
        <v>27.4</v>
      </c>
      <c r="H577" s="1" t="s">
        <v>0</v>
      </c>
      <c r="I577">
        <v>0.5</v>
      </c>
      <c r="J577" t="s">
        <v>6</v>
      </c>
      <c r="K577" t="s">
        <v>6</v>
      </c>
      <c r="L577">
        <v>27.3</v>
      </c>
      <c r="M577">
        <f t="shared" si="35"/>
        <v>1</v>
      </c>
    </row>
    <row r="578" spans="1:13" x14ac:dyDescent="0.2">
      <c r="A578" s="9">
        <v>43312</v>
      </c>
      <c r="B578">
        <f t="shared" si="32"/>
        <v>31</v>
      </c>
      <c r="C578">
        <f t="shared" si="33"/>
        <v>7</v>
      </c>
      <c r="D578">
        <f t="shared" si="34"/>
        <v>2018</v>
      </c>
      <c r="E578" s="11">
        <v>3.1309999999999998</v>
      </c>
      <c r="F578" s="11">
        <v>101.54900000000001</v>
      </c>
      <c r="G578" s="11">
        <v>27.4</v>
      </c>
      <c r="H578" s="1" t="s">
        <v>0</v>
      </c>
      <c r="I578">
        <v>50.3</v>
      </c>
      <c r="J578" t="s">
        <v>6</v>
      </c>
      <c r="K578">
        <v>23.5</v>
      </c>
      <c r="L578">
        <v>28.1</v>
      </c>
      <c r="M578">
        <f t="shared" si="35"/>
        <v>1</v>
      </c>
    </row>
    <row r="579" spans="1:13" x14ac:dyDescent="0.2">
      <c r="A579" s="9">
        <v>43313</v>
      </c>
      <c r="B579">
        <f t="shared" ref="B579:B642" si="36">DAY(A579)</f>
        <v>1</v>
      </c>
      <c r="C579">
        <f t="shared" ref="C579:C642" si="37">MONTH(A579)</f>
        <v>8</v>
      </c>
      <c r="D579">
        <f t="shared" ref="D579:D642" si="38">YEAR(A579)</f>
        <v>2018</v>
      </c>
      <c r="E579" s="11">
        <v>3.1309999999999998</v>
      </c>
      <c r="F579" s="11">
        <v>101.54900000000001</v>
      </c>
      <c r="G579" s="11">
        <v>27.4</v>
      </c>
      <c r="H579" s="1" t="s">
        <v>0</v>
      </c>
      <c r="I579">
        <v>6.4</v>
      </c>
      <c r="J579" t="s">
        <v>6</v>
      </c>
      <c r="K579" t="s">
        <v>6</v>
      </c>
      <c r="L579">
        <v>25.9</v>
      </c>
      <c r="M579">
        <f t="shared" ref="M579:M642" si="39">IF(ISNUMBER(I579), IF(I579&gt;0, 1, 0), "")</f>
        <v>1</v>
      </c>
    </row>
    <row r="580" spans="1:13" x14ac:dyDescent="0.2">
      <c r="A580" s="9">
        <v>43314</v>
      </c>
      <c r="B580">
        <f t="shared" si="36"/>
        <v>2</v>
      </c>
      <c r="C580">
        <f t="shared" si="37"/>
        <v>8</v>
      </c>
      <c r="D580">
        <f t="shared" si="38"/>
        <v>2018</v>
      </c>
      <c r="E580" s="11">
        <v>3.1309999999999998</v>
      </c>
      <c r="F580" s="11">
        <v>101.54900000000001</v>
      </c>
      <c r="G580" s="11">
        <v>27.4</v>
      </c>
      <c r="H580" s="1" t="s">
        <v>0</v>
      </c>
      <c r="I580">
        <v>15</v>
      </c>
      <c r="J580" t="s">
        <v>6</v>
      </c>
      <c r="K580" t="s">
        <v>6</v>
      </c>
      <c r="L580">
        <v>26.6</v>
      </c>
      <c r="M580">
        <f t="shared" si="39"/>
        <v>1</v>
      </c>
    </row>
    <row r="581" spans="1:13" x14ac:dyDescent="0.2">
      <c r="A581" s="9">
        <v>43315</v>
      </c>
      <c r="B581">
        <f t="shared" si="36"/>
        <v>3</v>
      </c>
      <c r="C581">
        <f t="shared" si="37"/>
        <v>8</v>
      </c>
      <c r="D581">
        <f t="shared" si="38"/>
        <v>2018</v>
      </c>
      <c r="E581" s="11">
        <v>3.1309999999999998</v>
      </c>
      <c r="F581" s="11">
        <v>101.54900000000001</v>
      </c>
      <c r="G581" s="11">
        <v>27.4</v>
      </c>
      <c r="H581" s="1" t="s">
        <v>0</v>
      </c>
      <c r="I581">
        <v>0</v>
      </c>
      <c r="J581" t="s">
        <v>6</v>
      </c>
      <c r="K581">
        <v>23</v>
      </c>
      <c r="L581">
        <v>28.6</v>
      </c>
      <c r="M581">
        <f t="shared" si="39"/>
        <v>0</v>
      </c>
    </row>
    <row r="582" spans="1:13" x14ac:dyDescent="0.2">
      <c r="A582" s="9">
        <v>43316</v>
      </c>
      <c r="B582">
        <f t="shared" si="36"/>
        <v>4</v>
      </c>
      <c r="C582">
        <f t="shared" si="37"/>
        <v>8</v>
      </c>
      <c r="D582">
        <f t="shared" si="38"/>
        <v>2018</v>
      </c>
      <c r="E582" s="11">
        <v>3.1309999999999998</v>
      </c>
      <c r="F582" s="11">
        <v>101.54900000000001</v>
      </c>
      <c r="G582" s="11">
        <v>27.4</v>
      </c>
      <c r="H582" s="1" t="s">
        <v>0</v>
      </c>
      <c r="I582">
        <v>0</v>
      </c>
      <c r="J582" t="s">
        <v>6</v>
      </c>
      <c r="K582">
        <v>23.6</v>
      </c>
      <c r="L582">
        <v>28.9</v>
      </c>
      <c r="M582">
        <f t="shared" si="39"/>
        <v>0</v>
      </c>
    </row>
    <row r="583" spans="1:13" x14ac:dyDescent="0.2">
      <c r="A583" s="9">
        <v>43317</v>
      </c>
      <c r="B583">
        <f t="shared" si="36"/>
        <v>5</v>
      </c>
      <c r="C583">
        <f t="shared" si="37"/>
        <v>8</v>
      </c>
      <c r="D583">
        <f t="shared" si="38"/>
        <v>2018</v>
      </c>
      <c r="E583" s="11">
        <v>3.1309999999999998</v>
      </c>
      <c r="F583" s="11">
        <v>101.54900000000001</v>
      </c>
      <c r="G583" s="11">
        <v>27.4</v>
      </c>
      <c r="H583" s="1" t="s">
        <v>0</v>
      </c>
      <c r="I583">
        <v>3.3</v>
      </c>
      <c r="J583" t="s">
        <v>6</v>
      </c>
      <c r="K583">
        <v>25.1</v>
      </c>
      <c r="L583">
        <v>28.7</v>
      </c>
      <c r="M583">
        <f t="shared" si="39"/>
        <v>1</v>
      </c>
    </row>
    <row r="584" spans="1:13" x14ac:dyDescent="0.2">
      <c r="A584" s="9">
        <v>43318</v>
      </c>
      <c r="B584">
        <f t="shared" si="36"/>
        <v>6</v>
      </c>
      <c r="C584">
        <f t="shared" si="37"/>
        <v>8</v>
      </c>
      <c r="D584">
        <f t="shared" si="38"/>
        <v>2018</v>
      </c>
      <c r="E584" s="11">
        <v>3.1309999999999998</v>
      </c>
      <c r="F584" s="11">
        <v>101.54900000000001</v>
      </c>
      <c r="G584" s="11">
        <v>27.4</v>
      </c>
      <c r="H584" s="1" t="s">
        <v>0</v>
      </c>
      <c r="I584">
        <v>0.5</v>
      </c>
      <c r="J584" t="s">
        <v>6</v>
      </c>
      <c r="K584" t="s">
        <v>6</v>
      </c>
      <c r="L584">
        <v>29</v>
      </c>
      <c r="M584">
        <f t="shared" si="39"/>
        <v>1</v>
      </c>
    </row>
    <row r="585" spans="1:13" x14ac:dyDescent="0.2">
      <c r="A585" s="9">
        <v>43319</v>
      </c>
      <c r="B585">
        <f t="shared" si="36"/>
        <v>7</v>
      </c>
      <c r="C585">
        <f t="shared" si="37"/>
        <v>8</v>
      </c>
      <c r="D585">
        <f t="shared" si="38"/>
        <v>2018</v>
      </c>
      <c r="E585" s="11">
        <v>3.1309999999999998</v>
      </c>
      <c r="F585" s="11">
        <v>101.54900000000001</v>
      </c>
      <c r="G585" s="11">
        <v>27.4</v>
      </c>
      <c r="H585" s="1" t="s">
        <v>0</v>
      </c>
      <c r="I585">
        <v>0.3</v>
      </c>
      <c r="J585" t="s">
        <v>6</v>
      </c>
      <c r="K585" t="s">
        <v>6</v>
      </c>
      <c r="L585">
        <v>29</v>
      </c>
      <c r="M585">
        <f t="shared" si="39"/>
        <v>1</v>
      </c>
    </row>
    <row r="586" spans="1:13" x14ac:dyDescent="0.2">
      <c r="A586" s="9">
        <v>43320</v>
      </c>
      <c r="B586">
        <f t="shared" si="36"/>
        <v>8</v>
      </c>
      <c r="C586">
        <f t="shared" si="37"/>
        <v>8</v>
      </c>
      <c r="D586">
        <f t="shared" si="38"/>
        <v>2018</v>
      </c>
      <c r="E586" s="11">
        <v>3.1309999999999998</v>
      </c>
      <c r="F586" s="11">
        <v>101.54900000000001</v>
      </c>
      <c r="G586" s="11">
        <v>27.4</v>
      </c>
      <c r="H586" s="1" t="s">
        <v>0</v>
      </c>
      <c r="I586">
        <v>0</v>
      </c>
      <c r="J586" t="s">
        <v>6</v>
      </c>
      <c r="K586">
        <v>25.3</v>
      </c>
      <c r="L586">
        <v>28.3</v>
      </c>
      <c r="M586">
        <f t="shared" si="39"/>
        <v>0</v>
      </c>
    </row>
    <row r="587" spans="1:13" x14ac:dyDescent="0.2">
      <c r="A587" s="9">
        <v>43321</v>
      </c>
      <c r="B587">
        <f t="shared" si="36"/>
        <v>9</v>
      </c>
      <c r="C587">
        <f t="shared" si="37"/>
        <v>8</v>
      </c>
      <c r="D587">
        <f t="shared" si="38"/>
        <v>2018</v>
      </c>
      <c r="E587" s="11">
        <v>3.1309999999999998</v>
      </c>
      <c r="F587" s="11">
        <v>101.54900000000001</v>
      </c>
      <c r="G587" s="11">
        <v>27.4</v>
      </c>
      <c r="H587" s="1" t="s">
        <v>0</v>
      </c>
      <c r="I587">
        <v>0</v>
      </c>
      <c r="J587" t="s">
        <v>6</v>
      </c>
      <c r="K587" t="s">
        <v>6</v>
      </c>
      <c r="L587">
        <v>28.1</v>
      </c>
      <c r="M587">
        <f t="shared" si="39"/>
        <v>0</v>
      </c>
    </row>
    <row r="588" spans="1:13" x14ac:dyDescent="0.2">
      <c r="A588" s="9">
        <v>43322</v>
      </c>
      <c r="B588">
        <f t="shared" si="36"/>
        <v>10</v>
      </c>
      <c r="C588">
        <f t="shared" si="37"/>
        <v>8</v>
      </c>
      <c r="D588">
        <f t="shared" si="38"/>
        <v>2018</v>
      </c>
      <c r="E588" s="11">
        <v>3.1309999999999998</v>
      </c>
      <c r="F588" s="11">
        <v>101.54900000000001</v>
      </c>
      <c r="G588" s="11">
        <v>27.4</v>
      </c>
      <c r="H588" s="1" t="s">
        <v>0</v>
      </c>
      <c r="I588">
        <v>0</v>
      </c>
      <c r="J588" t="s">
        <v>6</v>
      </c>
      <c r="K588">
        <v>25.1</v>
      </c>
      <c r="L588">
        <v>29.4</v>
      </c>
      <c r="M588">
        <f t="shared" si="39"/>
        <v>0</v>
      </c>
    </row>
    <row r="589" spans="1:13" x14ac:dyDescent="0.2">
      <c r="A589" s="9">
        <v>43323</v>
      </c>
      <c r="B589">
        <f t="shared" si="36"/>
        <v>11</v>
      </c>
      <c r="C589">
        <f t="shared" si="37"/>
        <v>8</v>
      </c>
      <c r="D589">
        <f t="shared" si="38"/>
        <v>2018</v>
      </c>
      <c r="E589" s="11">
        <v>3.1309999999999998</v>
      </c>
      <c r="F589" s="11">
        <v>101.54900000000001</v>
      </c>
      <c r="G589" s="11">
        <v>27.4</v>
      </c>
      <c r="H589" s="1" t="s">
        <v>0</v>
      </c>
      <c r="I589">
        <v>0</v>
      </c>
      <c r="J589" t="s">
        <v>6</v>
      </c>
      <c r="K589" t="s">
        <v>6</v>
      </c>
      <c r="L589">
        <v>29.1</v>
      </c>
      <c r="M589">
        <f t="shared" si="39"/>
        <v>0</v>
      </c>
    </row>
    <row r="590" spans="1:13" x14ac:dyDescent="0.2">
      <c r="A590" s="9">
        <v>43324</v>
      </c>
      <c r="B590">
        <f t="shared" si="36"/>
        <v>12</v>
      </c>
      <c r="C590">
        <f t="shared" si="37"/>
        <v>8</v>
      </c>
      <c r="D590">
        <f t="shared" si="38"/>
        <v>2018</v>
      </c>
      <c r="E590" s="11">
        <v>3.1309999999999998</v>
      </c>
      <c r="F590" s="11">
        <v>101.54900000000001</v>
      </c>
      <c r="G590" s="11">
        <v>27.4</v>
      </c>
      <c r="H590" s="1" t="s">
        <v>0</v>
      </c>
      <c r="I590">
        <v>0</v>
      </c>
      <c r="J590" t="s">
        <v>6</v>
      </c>
      <c r="K590">
        <v>24</v>
      </c>
      <c r="L590">
        <v>29.9</v>
      </c>
      <c r="M590">
        <f t="shared" si="39"/>
        <v>0</v>
      </c>
    </row>
    <row r="591" spans="1:13" x14ac:dyDescent="0.2">
      <c r="A591" s="9">
        <v>43325</v>
      </c>
      <c r="B591">
        <f t="shared" si="36"/>
        <v>13</v>
      </c>
      <c r="C591">
        <f t="shared" si="37"/>
        <v>8</v>
      </c>
      <c r="D591">
        <f t="shared" si="38"/>
        <v>2018</v>
      </c>
      <c r="E591" s="11">
        <v>3.1309999999999998</v>
      </c>
      <c r="F591" s="11">
        <v>101.54900000000001</v>
      </c>
      <c r="G591" s="11">
        <v>27.4</v>
      </c>
      <c r="H591" s="1" t="s">
        <v>0</v>
      </c>
      <c r="I591">
        <v>0</v>
      </c>
      <c r="J591" t="s">
        <v>6</v>
      </c>
      <c r="K591">
        <v>25</v>
      </c>
      <c r="L591">
        <v>30.4</v>
      </c>
      <c r="M591">
        <f t="shared" si="39"/>
        <v>0</v>
      </c>
    </row>
    <row r="592" spans="1:13" x14ac:dyDescent="0.2">
      <c r="A592" s="9">
        <v>43326</v>
      </c>
      <c r="B592">
        <f t="shared" si="36"/>
        <v>14</v>
      </c>
      <c r="C592">
        <f t="shared" si="37"/>
        <v>8</v>
      </c>
      <c r="D592">
        <f t="shared" si="38"/>
        <v>2018</v>
      </c>
      <c r="E592" s="11">
        <v>3.1309999999999998</v>
      </c>
      <c r="F592" s="11">
        <v>101.54900000000001</v>
      </c>
      <c r="G592" s="11">
        <v>27.4</v>
      </c>
      <c r="H592" s="1" t="s">
        <v>0</v>
      </c>
      <c r="I592">
        <v>0</v>
      </c>
      <c r="J592" t="s">
        <v>6</v>
      </c>
      <c r="K592" t="s">
        <v>6</v>
      </c>
      <c r="L592">
        <v>30.7</v>
      </c>
      <c r="M592">
        <f t="shared" si="39"/>
        <v>0</v>
      </c>
    </row>
    <row r="593" spans="1:13" x14ac:dyDescent="0.2">
      <c r="A593" s="9">
        <v>43327</v>
      </c>
      <c r="B593">
        <f t="shared" si="36"/>
        <v>15</v>
      </c>
      <c r="C593">
        <f t="shared" si="37"/>
        <v>8</v>
      </c>
      <c r="D593">
        <f t="shared" si="38"/>
        <v>2018</v>
      </c>
      <c r="E593" s="11">
        <v>3.1309999999999998</v>
      </c>
      <c r="F593" s="11">
        <v>101.54900000000001</v>
      </c>
      <c r="G593" s="11">
        <v>27.4</v>
      </c>
      <c r="H593" s="1" t="s">
        <v>0</v>
      </c>
      <c r="I593">
        <v>0</v>
      </c>
      <c r="J593" t="s">
        <v>6</v>
      </c>
      <c r="K593" t="s">
        <v>6</v>
      </c>
      <c r="L593">
        <v>30.1</v>
      </c>
      <c r="M593">
        <f t="shared" si="39"/>
        <v>0</v>
      </c>
    </row>
    <row r="594" spans="1:13" x14ac:dyDescent="0.2">
      <c r="A594" s="9">
        <v>43328</v>
      </c>
      <c r="B594">
        <f t="shared" si="36"/>
        <v>16</v>
      </c>
      <c r="C594">
        <f t="shared" si="37"/>
        <v>8</v>
      </c>
      <c r="D594">
        <f t="shared" si="38"/>
        <v>2018</v>
      </c>
      <c r="E594" s="11">
        <v>3.1309999999999998</v>
      </c>
      <c r="F594" s="11">
        <v>101.54900000000001</v>
      </c>
      <c r="G594" s="11">
        <v>27.4</v>
      </c>
      <c r="H594" s="1" t="s">
        <v>0</v>
      </c>
      <c r="I594">
        <v>0</v>
      </c>
      <c r="J594" t="s">
        <v>6</v>
      </c>
      <c r="K594" t="s">
        <v>6</v>
      </c>
      <c r="L594">
        <v>29.8</v>
      </c>
      <c r="M594">
        <f t="shared" si="39"/>
        <v>0</v>
      </c>
    </row>
    <row r="595" spans="1:13" x14ac:dyDescent="0.2">
      <c r="A595" s="9">
        <v>43329</v>
      </c>
      <c r="B595">
        <f t="shared" si="36"/>
        <v>17</v>
      </c>
      <c r="C595">
        <f t="shared" si="37"/>
        <v>8</v>
      </c>
      <c r="D595">
        <f t="shared" si="38"/>
        <v>2018</v>
      </c>
      <c r="E595" s="11">
        <v>3.1309999999999998</v>
      </c>
      <c r="F595" s="11">
        <v>101.54900000000001</v>
      </c>
      <c r="G595" s="11">
        <v>27.4</v>
      </c>
      <c r="H595" s="1" t="s">
        <v>0</v>
      </c>
      <c r="I595">
        <v>0</v>
      </c>
      <c r="J595" t="s">
        <v>6</v>
      </c>
      <c r="K595">
        <v>25.7</v>
      </c>
      <c r="L595">
        <v>29.2</v>
      </c>
      <c r="M595">
        <f t="shared" si="39"/>
        <v>0</v>
      </c>
    </row>
    <row r="596" spans="1:13" x14ac:dyDescent="0.2">
      <c r="A596" s="9">
        <v>43330</v>
      </c>
      <c r="B596">
        <f t="shared" si="36"/>
        <v>18</v>
      </c>
      <c r="C596">
        <f t="shared" si="37"/>
        <v>8</v>
      </c>
      <c r="D596">
        <f t="shared" si="38"/>
        <v>2018</v>
      </c>
      <c r="E596" s="11">
        <v>3.1309999999999998</v>
      </c>
      <c r="F596" s="11">
        <v>101.54900000000001</v>
      </c>
      <c r="G596" s="11">
        <v>27.4</v>
      </c>
      <c r="H596" s="1" t="s">
        <v>0</v>
      </c>
      <c r="I596">
        <v>0.3</v>
      </c>
      <c r="J596" t="s">
        <v>6</v>
      </c>
      <c r="K596" t="s">
        <v>6</v>
      </c>
      <c r="L596">
        <v>28.3</v>
      </c>
      <c r="M596">
        <f t="shared" si="39"/>
        <v>1</v>
      </c>
    </row>
    <row r="597" spans="1:13" x14ac:dyDescent="0.2">
      <c r="A597" s="9">
        <v>43331</v>
      </c>
      <c r="B597">
        <f t="shared" si="36"/>
        <v>19</v>
      </c>
      <c r="C597">
        <f t="shared" si="37"/>
        <v>8</v>
      </c>
      <c r="D597">
        <f t="shared" si="38"/>
        <v>2018</v>
      </c>
      <c r="E597" s="11">
        <v>3.1309999999999998</v>
      </c>
      <c r="F597" s="11">
        <v>101.54900000000001</v>
      </c>
      <c r="G597" s="11">
        <v>27.4</v>
      </c>
      <c r="H597" s="1" t="s">
        <v>0</v>
      </c>
      <c r="I597">
        <v>1.5</v>
      </c>
      <c r="J597" t="s">
        <v>6</v>
      </c>
      <c r="K597">
        <v>25.2</v>
      </c>
      <c r="L597">
        <v>29.8</v>
      </c>
      <c r="M597">
        <f t="shared" si="39"/>
        <v>1</v>
      </c>
    </row>
    <row r="598" spans="1:13" x14ac:dyDescent="0.2">
      <c r="A598" s="9">
        <v>43332</v>
      </c>
      <c r="B598">
        <f t="shared" si="36"/>
        <v>20</v>
      </c>
      <c r="C598">
        <f t="shared" si="37"/>
        <v>8</v>
      </c>
      <c r="D598">
        <f t="shared" si="38"/>
        <v>2018</v>
      </c>
      <c r="E598" s="11">
        <v>3.1309999999999998</v>
      </c>
      <c r="F598" s="11">
        <v>101.54900000000001</v>
      </c>
      <c r="G598" s="11">
        <v>27.4</v>
      </c>
      <c r="H598" s="1" t="s">
        <v>0</v>
      </c>
      <c r="I598">
        <v>0</v>
      </c>
      <c r="J598" t="s">
        <v>6</v>
      </c>
      <c r="K598">
        <v>25.4</v>
      </c>
      <c r="L598">
        <v>29.5</v>
      </c>
      <c r="M598">
        <f t="shared" si="39"/>
        <v>0</v>
      </c>
    </row>
    <row r="599" spans="1:13" x14ac:dyDescent="0.2">
      <c r="A599" s="9">
        <v>43333</v>
      </c>
      <c r="B599">
        <f t="shared" si="36"/>
        <v>21</v>
      </c>
      <c r="C599">
        <f t="shared" si="37"/>
        <v>8</v>
      </c>
      <c r="D599">
        <f t="shared" si="38"/>
        <v>2018</v>
      </c>
      <c r="E599" s="11">
        <v>3.1309999999999998</v>
      </c>
      <c r="F599" s="11">
        <v>101.54900000000001</v>
      </c>
      <c r="G599" s="11">
        <v>27.4</v>
      </c>
      <c r="H599" s="1" t="s">
        <v>0</v>
      </c>
      <c r="I599">
        <v>2.2999999999999998</v>
      </c>
      <c r="J599" t="s">
        <v>6</v>
      </c>
      <c r="K599" t="s">
        <v>6</v>
      </c>
      <c r="L599">
        <v>29.3</v>
      </c>
      <c r="M599">
        <f t="shared" si="39"/>
        <v>1</v>
      </c>
    </row>
    <row r="600" spans="1:13" x14ac:dyDescent="0.2">
      <c r="A600" s="9">
        <v>43334</v>
      </c>
      <c r="B600">
        <f t="shared" si="36"/>
        <v>22</v>
      </c>
      <c r="C600">
        <f t="shared" si="37"/>
        <v>8</v>
      </c>
      <c r="D600">
        <f t="shared" si="38"/>
        <v>2018</v>
      </c>
      <c r="E600" s="11">
        <v>3.1309999999999998</v>
      </c>
      <c r="F600" s="11">
        <v>101.54900000000001</v>
      </c>
      <c r="G600" s="11">
        <v>27.4</v>
      </c>
      <c r="H600" s="1" t="s">
        <v>0</v>
      </c>
      <c r="I600">
        <v>0</v>
      </c>
      <c r="J600" t="s">
        <v>6</v>
      </c>
      <c r="K600" t="s">
        <v>6</v>
      </c>
      <c r="L600">
        <v>27.3</v>
      </c>
      <c r="M600">
        <f t="shared" si="39"/>
        <v>0</v>
      </c>
    </row>
    <row r="601" spans="1:13" x14ac:dyDescent="0.2">
      <c r="A601" s="9">
        <v>43335</v>
      </c>
      <c r="B601">
        <f t="shared" si="36"/>
        <v>23</v>
      </c>
      <c r="C601">
        <f t="shared" si="37"/>
        <v>8</v>
      </c>
      <c r="D601">
        <f t="shared" si="38"/>
        <v>2018</v>
      </c>
      <c r="E601" s="11">
        <v>3.1309999999999998</v>
      </c>
      <c r="F601" s="11">
        <v>101.54900000000001</v>
      </c>
      <c r="G601" s="11">
        <v>27.4</v>
      </c>
      <c r="H601" s="1" t="s">
        <v>0</v>
      </c>
      <c r="I601">
        <v>39.4</v>
      </c>
      <c r="J601" t="s">
        <v>6</v>
      </c>
      <c r="K601">
        <v>23.3</v>
      </c>
      <c r="L601">
        <v>28.1</v>
      </c>
      <c r="M601">
        <f t="shared" si="39"/>
        <v>1</v>
      </c>
    </row>
    <row r="602" spans="1:13" x14ac:dyDescent="0.2">
      <c r="A602" s="9">
        <v>43336</v>
      </c>
      <c r="B602">
        <f t="shared" si="36"/>
        <v>24</v>
      </c>
      <c r="C602">
        <f t="shared" si="37"/>
        <v>8</v>
      </c>
      <c r="D602">
        <f t="shared" si="38"/>
        <v>2018</v>
      </c>
      <c r="E602" s="11">
        <v>3.1309999999999998</v>
      </c>
      <c r="F602" s="11">
        <v>101.54900000000001</v>
      </c>
      <c r="G602" s="11">
        <v>27.4</v>
      </c>
      <c r="H602" s="1" t="s">
        <v>0</v>
      </c>
      <c r="I602">
        <v>0</v>
      </c>
      <c r="J602" t="s">
        <v>6</v>
      </c>
      <c r="K602">
        <v>23.8</v>
      </c>
      <c r="L602">
        <v>29.2</v>
      </c>
      <c r="M602">
        <f t="shared" si="39"/>
        <v>0</v>
      </c>
    </row>
    <row r="603" spans="1:13" x14ac:dyDescent="0.2">
      <c r="A603" s="9">
        <v>43337</v>
      </c>
      <c r="B603">
        <f t="shared" si="36"/>
        <v>25</v>
      </c>
      <c r="C603">
        <f t="shared" si="37"/>
        <v>8</v>
      </c>
      <c r="D603">
        <f t="shared" si="38"/>
        <v>2018</v>
      </c>
      <c r="E603" s="11">
        <v>3.1309999999999998</v>
      </c>
      <c r="F603" s="11">
        <v>101.54900000000001</v>
      </c>
      <c r="G603" s="11">
        <v>27.4</v>
      </c>
      <c r="H603" s="1" t="s">
        <v>0</v>
      </c>
      <c r="I603">
        <v>0</v>
      </c>
      <c r="J603" t="s">
        <v>6</v>
      </c>
      <c r="K603">
        <v>24.3</v>
      </c>
      <c r="L603">
        <v>29.5</v>
      </c>
      <c r="M603">
        <f t="shared" si="39"/>
        <v>0</v>
      </c>
    </row>
    <row r="604" spans="1:13" x14ac:dyDescent="0.2">
      <c r="A604" s="9">
        <v>43338</v>
      </c>
      <c r="B604">
        <f t="shared" si="36"/>
        <v>26</v>
      </c>
      <c r="C604">
        <f t="shared" si="37"/>
        <v>8</v>
      </c>
      <c r="D604">
        <f t="shared" si="38"/>
        <v>2018</v>
      </c>
      <c r="E604" s="11">
        <v>3.1309999999999998</v>
      </c>
      <c r="F604" s="11">
        <v>101.54900000000001</v>
      </c>
      <c r="G604" s="11">
        <v>27.4</v>
      </c>
      <c r="H604" s="1" t="s">
        <v>0</v>
      </c>
      <c r="I604">
        <v>0</v>
      </c>
      <c r="J604" t="s">
        <v>6</v>
      </c>
      <c r="K604">
        <v>25</v>
      </c>
      <c r="L604">
        <v>29.1</v>
      </c>
      <c r="M604">
        <f t="shared" si="39"/>
        <v>0</v>
      </c>
    </row>
    <row r="605" spans="1:13" x14ac:dyDescent="0.2">
      <c r="A605" s="9">
        <v>43339</v>
      </c>
      <c r="B605">
        <f t="shared" si="36"/>
        <v>27</v>
      </c>
      <c r="C605">
        <f t="shared" si="37"/>
        <v>8</v>
      </c>
      <c r="D605">
        <f t="shared" si="38"/>
        <v>2018</v>
      </c>
      <c r="E605" s="11">
        <v>3.1309999999999998</v>
      </c>
      <c r="F605" s="11">
        <v>101.54900000000001</v>
      </c>
      <c r="G605" s="11">
        <v>27.4</v>
      </c>
      <c r="H605" s="1" t="s">
        <v>0</v>
      </c>
      <c r="I605">
        <v>0</v>
      </c>
      <c r="J605" t="s">
        <v>6</v>
      </c>
      <c r="K605" t="s">
        <v>6</v>
      </c>
      <c r="L605">
        <v>28.9</v>
      </c>
      <c r="M605">
        <f t="shared" si="39"/>
        <v>0</v>
      </c>
    </row>
    <row r="606" spans="1:13" x14ac:dyDescent="0.2">
      <c r="A606" s="9">
        <v>43340</v>
      </c>
      <c r="B606">
        <f t="shared" si="36"/>
        <v>28</v>
      </c>
      <c r="C606">
        <f t="shared" si="37"/>
        <v>8</v>
      </c>
      <c r="D606">
        <f t="shared" si="38"/>
        <v>2018</v>
      </c>
      <c r="E606" s="11">
        <v>3.1309999999999998</v>
      </c>
      <c r="F606" s="11">
        <v>101.54900000000001</v>
      </c>
      <c r="G606" s="11">
        <v>27.4</v>
      </c>
      <c r="H606" s="1" t="s">
        <v>0</v>
      </c>
      <c r="I606">
        <v>14.5</v>
      </c>
      <c r="J606" t="s">
        <v>6</v>
      </c>
      <c r="K606">
        <v>22.2</v>
      </c>
      <c r="L606">
        <v>27.9</v>
      </c>
      <c r="M606">
        <f t="shared" si="39"/>
        <v>1</v>
      </c>
    </row>
    <row r="607" spans="1:13" x14ac:dyDescent="0.2">
      <c r="A607" s="9">
        <v>43341</v>
      </c>
      <c r="B607">
        <f t="shared" si="36"/>
        <v>29</v>
      </c>
      <c r="C607">
        <f t="shared" si="37"/>
        <v>8</v>
      </c>
      <c r="D607">
        <f t="shared" si="38"/>
        <v>2018</v>
      </c>
      <c r="E607" s="11">
        <v>3.1309999999999998</v>
      </c>
      <c r="F607" s="11">
        <v>101.54900000000001</v>
      </c>
      <c r="G607" s="11">
        <v>27.4</v>
      </c>
      <c r="H607" s="1" t="s">
        <v>0</v>
      </c>
      <c r="I607">
        <v>19.3</v>
      </c>
      <c r="J607" t="s">
        <v>6</v>
      </c>
      <c r="K607">
        <v>22.6</v>
      </c>
      <c r="L607">
        <v>28.1</v>
      </c>
      <c r="M607">
        <f t="shared" si="39"/>
        <v>1</v>
      </c>
    </row>
    <row r="608" spans="1:13" x14ac:dyDescent="0.2">
      <c r="A608" s="9">
        <v>43342</v>
      </c>
      <c r="B608">
        <f t="shared" si="36"/>
        <v>30</v>
      </c>
      <c r="C608">
        <f t="shared" si="37"/>
        <v>8</v>
      </c>
      <c r="D608">
        <f t="shared" si="38"/>
        <v>2018</v>
      </c>
      <c r="E608" s="11">
        <v>3.1309999999999998</v>
      </c>
      <c r="F608" s="11">
        <v>101.54900000000001</v>
      </c>
      <c r="G608" s="11">
        <v>27.4</v>
      </c>
      <c r="H608" s="1" t="s">
        <v>0</v>
      </c>
      <c r="I608">
        <v>0.3</v>
      </c>
      <c r="J608" t="s">
        <v>6</v>
      </c>
      <c r="K608">
        <v>23.4</v>
      </c>
      <c r="L608">
        <v>28.9</v>
      </c>
      <c r="M608">
        <f t="shared" si="39"/>
        <v>1</v>
      </c>
    </row>
    <row r="609" spans="1:13" x14ac:dyDescent="0.2">
      <c r="A609" s="9">
        <v>43343</v>
      </c>
      <c r="B609">
        <f t="shared" si="36"/>
        <v>31</v>
      </c>
      <c r="C609">
        <f t="shared" si="37"/>
        <v>8</v>
      </c>
      <c r="D609">
        <f t="shared" si="38"/>
        <v>2018</v>
      </c>
      <c r="E609" s="11">
        <v>3.1309999999999998</v>
      </c>
      <c r="F609" s="11">
        <v>101.54900000000001</v>
      </c>
      <c r="G609" s="11">
        <v>27.4</v>
      </c>
      <c r="H609" s="1" t="s">
        <v>0</v>
      </c>
      <c r="I609">
        <v>0</v>
      </c>
      <c r="J609" t="s">
        <v>6</v>
      </c>
      <c r="K609">
        <v>24.6</v>
      </c>
      <c r="L609">
        <v>27.4</v>
      </c>
      <c r="M609">
        <f t="shared" si="39"/>
        <v>0</v>
      </c>
    </row>
    <row r="610" spans="1:13" x14ac:dyDescent="0.2">
      <c r="A610" s="9">
        <v>43344</v>
      </c>
      <c r="B610">
        <f t="shared" si="36"/>
        <v>1</v>
      </c>
      <c r="C610">
        <f t="shared" si="37"/>
        <v>9</v>
      </c>
      <c r="D610">
        <f t="shared" si="38"/>
        <v>2018</v>
      </c>
      <c r="E610" s="11">
        <v>3.1309999999999998</v>
      </c>
      <c r="F610" s="11">
        <v>101.54900000000001</v>
      </c>
      <c r="G610" s="11">
        <v>27.4</v>
      </c>
      <c r="H610" s="1" t="s">
        <v>0</v>
      </c>
      <c r="I610">
        <v>0</v>
      </c>
      <c r="J610" t="s">
        <v>6</v>
      </c>
      <c r="K610">
        <v>24.6</v>
      </c>
      <c r="L610">
        <v>27.6</v>
      </c>
      <c r="M610">
        <f t="shared" si="39"/>
        <v>0</v>
      </c>
    </row>
    <row r="611" spans="1:13" x14ac:dyDescent="0.2">
      <c r="A611" s="9">
        <v>43345</v>
      </c>
      <c r="B611">
        <f t="shared" si="36"/>
        <v>2</v>
      </c>
      <c r="C611">
        <f t="shared" si="37"/>
        <v>9</v>
      </c>
      <c r="D611">
        <f t="shared" si="38"/>
        <v>2018</v>
      </c>
      <c r="E611" s="11">
        <v>3.1309999999999998</v>
      </c>
      <c r="F611" s="11">
        <v>101.54900000000001</v>
      </c>
      <c r="G611" s="11">
        <v>27.4</v>
      </c>
      <c r="H611" s="1" t="s">
        <v>0</v>
      </c>
      <c r="I611">
        <v>3.3</v>
      </c>
      <c r="J611" t="s">
        <v>6</v>
      </c>
      <c r="K611" t="s">
        <v>6</v>
      </c>
      <c r="L611">
        <v>25.6</v>
      </c>
      <c r="M611">
        <f t="shared" si="39"/>
        <v>1</v>
      </c>
    </row>
    <row r="612" spans="1:13" x14ac:dyDescent="0.2">
      <c r="A612" s="9">
        <v>43346</v>
      </c>
      <c r="B612">
        <f t="shared" si="36"/>
        <v>3</v>
      </c>
      <c r="C612">
        <f t="shared" si="37"/>
        <v>9</v>
      </c>
      <c r="D612">
        <f t="shared" si="38"/>
        <v>2018</v>
      </c>
      <c r="E612" s="11">
        <v>3.1309999999999998</v>
      </c>
      <c r="F612" s="11">
        <v>101.54900000000001</v>
      </c>
      <c r="G612" s="11">
        <v>27.4</v>
      </c>
      <c r="H612" s="1" t="s">
        <v>0</v>
      </c>
      <c r="I612">
        <v>49.5</v>
      </c>
      <c r="J612" t="s">
        <v>6</v>
      </c>
      <c r="K612">
        <v>22.5</v>
      </c>
      <c r="L612">
        <v>27.4</v>
      </c>
      <c r="M612">
        <f t="shared" si="39"/>
        <v>1</v>
      </c>
    </row>
    <row r="613" spans="1:13" x14ac:dyDescent="0.2">
      <c r="A613" s="9">
        <v>43347</v>
      </c>
      <c r="B613">
        <f t="shared" si="36"/>
        <v>4</v>
      </c>
      <c r="C613">
        <f t="shared" si="37"/>
        <v>9</v>
      </c>
      <c r="D613">
        <f t="shared" si="38"/>
        <v>2018</v>
      </c>
      <c r="E613" s="11">
        <v>3.1309999999999998</v>
      </c>
      <c r="F613" s="11">
        <v>101.54900000000001</v>
      </c>
      <c r="G613" s="11">
        <v>27.4</v>
      </c>
      <c r="H613" s="1" t="s">
        <v>0</v>
      </c>
      <c r="I613">
        <v>0.8</v>
      </c>
      <c r="J613" t="s">
        <v>6</v>
      </c>
      <c r="K613">
        <v>23.3</v>
      </c>
      <c r="L613">
        <v>28.1</v>
      </c>
      <c r="M613">
        <f t="shared" si="39"/>
        <v>1</v>
      </c>
    </row>
    <row r="614" spans="1:13" x14ac:dyDescent="0.2">
      <c r="A614" s="9">
        <v>43348</v>
      </c>
      <c r="B614">
        <f t="shared" si="36"/>
        <v>5</v>
      </c>
      <c r="C614">
        <f t="shared" si="37"/>
        <v>9</v>
      </c>
      <c r="D614">
        <f t="shared" si="38"/>
        <v>2018</v>
      </c>
      <c r="E614" s="11">
        <v>3.1309999999999998</v>
      </c>
      <c r="F614" s="11">
        <v>101.54900000000001</v>
      </c>
      <c r="G614" s="11">
        <v>27.4</v>
      </c>
      <c r="H614" s="1" t="s">
        <v>0</v>
      </c>
      <c r="I614">
        <v>0</v>
      </c>
      <c r="J614" t="s">
        <v>6</v>
      </c>
      <c r="K614">
        <v>24.3</v>
      </c>
      <c r="L614">
        <v>29</v>
      </c>
      <c r="M614">
        <f t="shared" si="39"/>
        <v>0</v>
      </c>
    </row>
    <row r="615" spans="1:13" x14ac:dyDescent="0.2">
      <c r="A615" s="9">
        <v>43349</v>
      </c>
      <c r="B615">
        <f t="shared" si="36"/>
        <v>6</v>
      </c>
      <c r="C615">
        <f t="shared" si="37"/>
        <v>9</v>
      </c>
      <c r="D615">
        <f t="shared" si="38"/>
        <v>2018</v>
      </c>
      <c r="E615" s="11">
        <v>3.1309999999999998</v>
      </c>
      <c r="F615" s="11">
        <v>101.54900000000001</v>
      </c>
      <c r="G615" s="11">
        <v>27.4</v>
      </c>
      <c r="H615" s="1" t="s">
        <v>0</v>
      </c>
      <c r="I615">
        <v>45</v>
      </c>
      <c r="J615" t="s">
        <v>6</v>
      </c>
      <c r="K615" t="s">
        <v>6</v>
      </c>
      <c r="L615">
        <v>25.5</v>
      </c>
      <c r="M615">
        <f t="shared" si="39"/>
        <v>1</v>
      </c>
    </row>
    <row r="616" spans="1:13" x14ac:dyDescent="0.2">
      <c r="A616" s="9">
        <v>43350</v>
      </c>
      <c r="B616">
        <f t="shared" si="36"/>
        <v>7</v>
      </c>
      <c r="C616">
        <f t="shared" si="37"/>
        <v>9</v>
      </c>
      <c r="D616">
        <f t="shared" si="38"/>
        <v>2018</v>
      </c>
      <c r="E616" s="11">
        <v>3.1309999999999998</v>
      </c>
      <c r="F616" s="11">
        <v>101.54900000000001</v>
      </c>
      <c r="G616" s="11">
        <v>27.4</v>
      </c>
      <c r="H616" s="1" t="s">
        <v>0</v>
      </c>
      <c r="I616" t="s">
        <v>6</v>
      </c>
      <c r="J616" t="s">
        <v>6</v>
      </c>
      <c r="K616">
        <v>22.4</v>
      </c>
      <c r="L616">
        <v>26.2</v>
      </c>
      <c r="M616" t="str">
        <f t="shared" si="39"/>
        <v/>
      </c>
    </row>
    <row r="617" spans="1:13" x14ac:dyDescent="0.2">
      <c r="A617" s="9">
        <v>43351</v>
      </c>
      <c r="B617">
        <f t="shared" si="36"/>
        <v>8</v>
      </c>
      <c r="C617">
        <f t="shared" si="37"/>
        <v>9</v>
      </c>
      <c r="D617">
        <f t="shared" si="38"/>
        <v>2018</v>
      </c>
      <c r="E617" s="11">
        <v>3.1309999999999998</v>
      </c>
      <c r="F617" s="11">
        <v>101.54900000000001</v>
      </c>
      <c r="G617" s="11">
        <v>27.4</v>
      </c>
      <c r="H617" s="1" t="s">
        <v>0</v>
      </c>
      <c r="I617">
        <v>0</v>
      </c>
      <c r="J617" t="s">
        <v>6</v>
      </c>
      <c r="K617">
        <v>23.8</v>
      </c>
      <c r="L617">
        <v>26.3</v>
      </c>
      <c r="M617">
        <f t="shared" si="39"/>
        <v>0</v>
      </c>
    </row>
    <row r="618" spans="1:13" x14ac:dyDescent="0.2">
      <c r="A618" s="9">
        <v>43352</v>
      </c>
      <c r="B618">
        <f t="shared" si="36"/>
        <v>9</v>
      </c>
      <c r="C618">
        <f t="shared" si="37"/>
        <v>9</v>
      </c>
      <c r="D618">
        <f t="shared" si="38"/>
        <v>2018</v>
      </c>
      <c r="E618" s="11">
        <v>3.1309999999999998</v>
      </c>
      <c r="F618" s="11">
        <v>101.54900000000001</v>
      </c>
      <c r="G618" s="11">
        <v>27.4</v>
      </c>
      <c r="H618" s="1" t="s">
        <v>0</v>
      </c>
      <c r="I618">
        <v>0</v>
      </c>
      <c r="J618" t="s">
        <v>6</v>
      </c>
      <c r="K618">
        <v>23.3</v>
      </c>
      <c r="L618">
        <v>27.2</v>
      </c>
      <c r="M618">
        <f t="shared" si="39"/>
        <v>0</v>
      </c>
    </row>
    <row r="619" spans="1:13" x14ac:dyDescent="0.2">
      <c r="A619" s="9">
        <v>43353</v>
      </c>
      <c r="B619">
        <f t="shared" si="36"/>
        <v>10</v>
      </c>
      <c r="C619">
        <f t="shared" si="37"/>
        <v>9</v>
      </c>
      <c r="D619">
        <f t="shared" si="38"/>
        <v>2018</v>
      </c>
      <c r="E619" s="11">
        <v>3.1309999999999998</v>
      </c>
      <c r="F619" s="11">
        <v>101.54900000000001</v>
      </c>
      <c r="G619" s="11">
        <v>27.4</v>
      </c>
      <c r="H619" s="1" t="s">
        <v>0</v>
      </c>
      <c r="I619">
        <v>10.9</v>
      </c>
      <c r="J619" t="s">
        <v>6</v>
      </c>
      <c r="K619" t="s">
        <v>6</v>
      </c>
      <c r="L619">
        <v>26.3</v>
      </c>
      <c r="M619">
        <f t="shared" si="39"/>
        <v>1</v>
      </c>
    </row>
    <row r="620" spans="1:13" x14ac:dyDescent="0.2">
      <c r="A620" s="9">
        <v>43354</v>
      </c>
      <c r="B620">
        <f t="shared" si="36"/>
        <v>11</v>
      </c>
      <c r="C620">
        <f t="shared" si="37"/>
        <v>9</v>
      </c>
      <c r="D620">
        <f t="shared" si="38"/>
        <v>2018</v>
      </c>
      <c r="E620" s="11">
        <v>3.1309999999999998</v>
      </c>
      <c r="F620" s="11">
        <v>101.54900000000001</v>
      </c>
      <c r="G620" s="11">
        <v>27.4</v>
      </c>
      <c r="H620" s="1" t="s">
        <v>0</v>
      </c>
      <c r="I620">
        <v>1.8</v>
      </c>
      <c r="J620" t="s">
        <v>6</v>
      </c>
      <c r="K620">
        <v>23.2</v>
      </c>
      <c r="L620">
        <v>26.5</v>
      </c>
      <c r="M620">
        <f t="shared" si="39"/>
        <v>1</v>
      </c>
    </row>
    <row r="621" spans="1:13" x14ac:dyDescent="0.2">
      <c r="A621" s="9">
        <v>43355</v>
      </c>
      <c r="B621">
        <f t="shared" si="36"/>
        <v>12</v>
      </c>
      <c r="C621">
        <f t="shared" si="37"/>
        <v>9</v>
      </c>
      <c r="D621">
        <f t="shared" si="38"/>
        <v>2018</v>
      </c>
      <c r="E621" s="11">
        <v>3.1309999999999998</v>
      </c>
      <c r="F621" s="11">
        <v>101.54900000000001</v>
      </c>
      <c r="G621" s="11">
        <v>27.4</v>
      </c>
      <c r="H621" s="1" t="s">
        <v>0</v>
      </c>
      <c r="I621">
        <v>5.6</v>
      </c>
      <c r="J621" t="s">
        <v>6</v>
      </c>
      <c r="K621" t="s">
        <v>6</v>
      </c>
      <c r="L621">
        <v>25.7</v>
      </c>
      <c r="M621">
        <f t="shared" si="39"/>
        <v>1</v>
      </c>
    </row>
    <row r="622" spans="1:13" x14ac:dyDescent="0.2">
      <c r="A622" s="9">
        <v>43356</v>
      </c>
      <c r="B622">
        <f t="shared" si="36"/>
        <v>13</v>
      </c>
      <c r="C622">
        <f t="shared" si="37"/>
        <v>9</v>
      </c>
      <c r="D622">
        <f t="shared" si="38"/>
        <v>2018</v>
      </c>
      <c r="E622" s="11">
        <v>3.1309999999999998</v>
      </c>
      <c r="F622" s="11">
        <v>101.54900000000001</v>
      </c>
      <c r="G622" s="11">
        <v>27.4</v>
      </c>
      <c r="H622" s="1" t="s">
        <v>0</v>
      </c>
      <c r="I622">
        <v>55.1</v>
      </c>
      <c r="J622" t="s">
        <v>6</v>
      </c>
      <c r="K622">
        <v>21.9</v>
      </c>
      <c r="L622">
        <v>27.5</v>
      </c>
      <c r="M622">
        <f t="shared" si="39"/>
        <v>1</v>
      </c>
    </row>
    <row r="623" spans="1:13" x14ac:dyDescent="0.2">
      <c r="A623" s="9">
        <v>43357</v>
      </c>
      <c r="B623">
        <f t="shared" si="36"/>
        <v>14</v>
      </c>
      <c r="C623">
        <f t="shared" si="37"/>
        <v>9</v>
      </c>
      <c r="D623">
        <f t="shared" si="38"/>
        <v>2018</v>
      </c>
      <c r="E623" s="11">
        <v>3.1309999999999998</v>
      </c>
      <c r="F623" s="11">
        <v>101.54900000000001</v>
      </c>
      <c r="G623" s="11">
        <v>27.4</v>
      </c>
      <c r="H623" s="1" t="s">
        <v>0</v>
      </c>
      <c r="I623">
        <v>0</v>
      </c>
      <c r="J623" t="s">
        <v>6</v>
      </c>
      <c r="K623">
        <v>22.9</v>
      </c>
      <c r="L623">
        <v>26.3</v>
      </c>
      <c r="M623">
        <f t="shared" si="39"/>
        <v>0</v>
      </c>
    </row>
    <row r="624" spans="1:13" x14ac:dyDescent="0.2">
      <c r="A624" s="9">
        <v>43358</v>
      </c>
      <c r="B624">
        <f t="shared" si="36"/>
        <v>15</v>
      </c>
      <c r="C624">
        <f t="shared" si="37"/>
        <v>9</v>
      </c>
      <c r="D624">
        <f t="shared" si="38"/>
        <v>2018</v>
      </c>
      <c r="E624" s="11">
        <v>3.1309999999999998</v>
      </c>
      <c r="F624" s="11">
        <v>101.54900000000001</v>
      </c>
      <c r="G624" s="11">
        <v>27.4</v>
      </c>
      <c r="H624" s="1" t="s">
        <v>0</v>
      </c>
      <c r="I624">
        <v>4.5999999999999996</v>
      </c>
      <c r="J624">
        <v>32.200000000000003</v>
      </c>
      <c r="K624">
        <v>24</v>
      </c>
      <c r="L624">
        <v>28.2</v>
      </c>
      <c r="M624">
        <f t="shared" si="39"/>
        <v>1</v>
      </c>
    </row>
    <row r="625" spans="1:13" x14ac:dyDescent="0.2">
      <c r="A625" s="9">
        <v>43359</v>
      </c>
      <c r="B625">
        <f t="shared" si="36"/>
        <v>16</v>
      </c>
      <c r="C625">
        <f t="shared" si="37"/>
        <v>9</v>
      </c>
      <c r="D625">
        <f t="shared" si="38"/>
        <v>2018</v>
      </c>
      <c r="E625" s="11">
        <v>3.1309999999999998</v>
      </c>
      <c r="F625" s="11">
        <v>101.54900000000001</v>
      </c>
      <c r="G625" s="11">
        <v>27.4</v>
      </c>
      <c r="H625" s="1" t="s">
        <v>0</v>
      </c>
      <c r="I625">
        <v>0</v>
      </c>
      <c r="J625">
        <v>31.3</v>
      </c>
      <c r="K625" t="s">
        <v>6</v>
      </c>
      <c r="L625">
        <v>26.4</v>
      </c>
      <c r="M625">
        <f t="shared" si="39"/>
        <v>0</v>
      </c>
    </row>
    <row r="626" spans="1:13" x14ac:dyDescent="0.2">
      <c r="A626" s="9">
        <v>43361</v>
      </c>
      <c r="B626">
        <f t="shared" si="36"/>
        <v>18</v>
      </c>
      <c r="C626">
        <f t="shared" si="37"/>
        <v>9</v>
      </c>
      <c r="D626">
        <f t="shared" si="38"/>
        <v>2018</v>
      </c>
      <c r="E626" s="11">
        <v>3.1309999999999998</v>
      </c>
      <c r="F626" s="11">
        <v>101.54900000000001</v>
      </c>
      <c r="G626" s="11">
        <v>27.4</v>
      </c>
      <c r="H626" s="1" t="s">
        <v>0</v>
      </c>
      <c r="I626" t="s">
        <v>6</v>
      </c>
      <c r="J626">
        <v>29.7</v>
      </c>
      <c r="K626" t="s">
        <v>6</v>
      </c>
      <c r="L626">
        <v>25.7</v>
      </c>
      <c r="M626" t="str">
        <f t="shared" si="39"/>
        <v/>
      </c>
    </row>
    <row r="627" spans="1:13" x14ac:dyDescent="0.2">
      <c r="A627" s="9">
        <v>43362</v>
      </c>
      <c r="B627">
        <f t="shared" si="36"/>
        <v>19</v>
      </c>
      <c r="C627">
        <f t="shared" si="37"/>
        <v>9</v>
      </c>
      <c r="D627">
        <f t="shared" si="38"/>
        <v>2018</v>
      </c>
      <c r="E627" s="11">
        <v>3.1309999999999998</v>
      </c>
      <c r="F627" s="11">
        <v>101.54900000000001</v>
      </c>
      <c r="G627" s="11">
        <v>27.4</v>
      </c>
      <c r="H627" s="1" t="s">
        <v>0</v>
      </c>
      <c r="I627">
        <v>2</v>
      </c>
      <c r="J627" t="s">
        <v>6</v>
      </c>
      <c r="K627">
        <v>22.3</v>
      </c>
      <c r="L627">
        <v>27.1</v>
      </c>
      <c r="M627">
        <f t="shared" si="39"/>
        <v>1</v>
      </c>
    </row>
    <row r="628" spans="1:13" x14ac:dyDescent="0.2">
      <c r="A628" s="9">
        <v>43363</v>
      </c>
      <c r="B628">
        <f t="shared" si="36"/>
        <v>20</v>
      </c>
      <c r="C628">
        <f t="shared" si="37"/>
        <v>9</v>
      </c>
      <c r="D628">
        <f t="shared" si="38"/>
        <v>2018</v>
      </c>
      <c r="E628" s="11">
        <v>3.1309999999999998</v>
      </c>
      <c r="F628" s="11">
        <v>101.54900000000001</v>
      </c>
      <c r="G628" s="11">
        <v>27.4</v>
      </c>
      <c r="H628" s="1" t="s">
        <v>0</v>
      </c>
      <c r="I628">
        <v>18</v>
      </c>
      <c r="J628" t="s">
        <v>6</v>
      </c>
      <c r="K628" t="s">
        <v>6</v>
      </c>
      <c r="L628">
        <v>25.3</v>
      </c>
      <c r="M628">
        <f t="shared" si="39"/>
        <v>1</v>
      </c>
    </row>
    <row r="629" spans="1:13" x14ac:dyDescent="0.2">
      <c r="A629" s="9">
        <v>43364</v>
      </c>
      <c r="B629">
        <f t="shared" si="36"/>
        <v>21</v>
      </c>
      <c r="C629">
        <f t="shared" si="37"/>
        <v>9</v>
      </c>
      <c r="D629">
        <f t="shared" si="38"/>
        <v>2018</v>
      </c>
      <c r="E629" s="11">
        <v>3.1309999999999998</v>
      </c>
      <c r="F629" s="11">
        <v>101.54900000000001</v>
      </c>
      <c r="G629" s="11">
        <v>27.4</v>
      </c>
      <c r="H629" s="1" t="s">
        <v>0</v>
      </c>
      <c r="I629">
        <v>19.100000000000001</v>
      </c>
      <c r="J629" t="s">
        <v>6</v>
      </c>
      <c r="K629">
        <v>23.2</v>
      </c>
      <c r="L629">
        <v>26.1</v>
      </c>
      <c r="M629">
        <f t="shared" si="39"/>
        <v>1</v>
      </c>
    </row>
    <row r="630" spans="1:13" x14ac:dyDescent="0.2">
      <c r="A630" s="9">
        <v>43365</v>
      </c>
      <c r="B630">
        <f t="shared" si="36"/>
        <v>22</v>
      </c>
      <c r="C630">
        <f t="shared" si="37"/>
        <v>9</v>
      </c>
      <c r="D630">
        <f t="shared" si="38"/>
        <v>2018</v>
      </c>
      <c r="E630" s="11">
        <v>3.1309999999999998</v>
      </c>
      <c r="F630" s="11">
        <v>101.54900000000001</v>
      </c>
      <c r="G630" s="11">
        <v>27.4</v>
      </c>
      <c r="H630" s="1" t="s">
        <v>0</v>
      </c>
      <c r="I630">
        <v>4.3</v>
      </c>
      <c r="J630" t="s">
        <v>6</v>
      </c>
      <c r="K630">
        <v>23.5</v>
      </c>
      <c r="L630">
        <v>27.1</v>
      </c>
      <c r="M630">
        <f t="shared" si="39"/>
        <v>1</v>
      </c>
    </row>
    <row r="631" spans="1:13" x14ac:dyDescent="0.2">
      <c r="A631" s="9">
        <v>43366</v>
      </c>
      <c r="B631">
        <f t="shared" si="36"/>
        <v>23</v>
      </c>
      <c r="C631">
        <f t="shared" si="37"/>
        <v>9</v>
      </c>
      <c r="D631">
        <f t="shared" si="38"/>
        <v>2018</v>
      </c>
      <c r="E631" s="11">
        <v>3.1309999999999998</v>
      </c>
      <c r="F631" s="11">
        <v>101.54900000000001</v>
      </c>
      <c r="G631" s="11">
        <v>27.4</v>
      </c>
      <c r="H631" s="1" t="s">
        <v>0</v>
      </c>
      <c r="I631">
        <v>1</v>
      </c>
      <c r="J631" t="s">
        <v>6</v>
      </c>
      <c r="K631" t="s">
        <v>6</v>
      </c>
      <c r="L631">
        <v>28</v>
      </c>
      <c r="M631">
        <f t="shared" si="39"/>
        <v>1</v>
      </c>
    </row>
    <row r="632" spans="1:13" x14ac:dyDescent="0.2">
      <c r="A632" s="9">
        <v>43367</v>
      </c>
      <c r="B632">
        <f t="shared" si="36"/>
        <v>24</v>
      </c>
      <c r="C632">
        <f t="shared" si="37"/>
        <v>9</v>
      </c>
      <c r="D632">
        <f t="shared" si="38"/>
        <v>2018</v>
      </c>
      <c r="E632" s="11">
        <v>3.1309999999999998</v>
      </c>
      <c r="F632" s="11">
        <v>101.54900000000001</v>
      </c>
      <c r="G632" s="11">
        <v>27.4</v>
      </c>
      <c r="H632" s="1" t="s">
        <v>0</v>
      </c>
      <c r="I632">
        <v>0</v>
      </c>
      <c r="J632" t="s">
        <v>6</v>
      </c>
      <c r="K632" t="s">
        <v>6</v>
      </c>
      <c r="L632">
        <v>29.3</v>
      </c>
      <c r="M632">
        <f t="shared" si="39"/>
        <v>0</v>
      </c>
    </row>
    <row r="633" spans="1:13" x14ac:dyDescent="0.2">
      <c r="A633" s="9">
        <v>43368</v>
      </c>
      <c r="B633">
        <f t="shared" si="36"/>
        <v>25</v>
      </c>
      <c r="C633">
        <f t="shared" si="37"/>
        <v>9</v>
      </c>
      <c r="D633">
        <f t="shared" si="38"/>
        <v>2018</v>
      </c>
      <c r="E633" s="11">
        <v>3.1309999999999998</v>
      </c>
      <c r="F633" s="11">
        <v>101.54900000000001</v>
      </c>
      <c r="G633" s="11">
        <v>27.4</v>
      </c>
      <c r="H633" s="1" t="s">
        <v>0</v>
      </c>
      <c r="I633">
        <v>18.3</v>
      </c>
      <c r="J633" t="s">
        <v>6</v>
      </c>
      <c r="K633">
        <v>23</v>
      </c>
      <c r="L633">
        <v>28.5</v>
      </c>
      <c r="M633">
        <f t="shared" si="39"/>
        <v>1</v>
      </c>
    </row>
    <row r="634" spans="1:13" x14ac:dyDescent="0.2">
      <c r="A634" s="9">
        <v>43369</v>
      </c>
      <c r="B634">
        <f t="shared" si="36"/>
        <v>26</v>
      </c>
      <c r="C634">
        <f t="shared" si="37"/>
        <v>9</v>
      </c>
      <c r="D634">
        <f t="shared" si="38"/>
        <v>2018</v>
      </c>
      <c r="E634" s="11">
        <v>3.1309999999999998</v>
      </c>
      <c r="F634" s="11">
        <v>101.54900000000001</v>
      </c>
      <c r="G634" s="11">
        <v>27.4</v>
      </c>
      <c r="H634" s="1" t="s">
        <v>0</v>
      </c>
      <c r="I634">
        <v>0</v>
      </c>
      <c r="J634" t="s">
        <v>6</v>
      </c>
      <c r="K634" t="s">
        <v>6</v>
      </c>
      <c r="L634">
        <v>26.1</v>
      </c>
      <c r="M634">
        <f t="shared" si="39"/>
        <v>0</v>
      </c>
    </row>
    <row r="635" spans="1:13" x14ac:dyDescent="0.2">
      <c r="A635" s="9">
        <v>43370</v>
      </c>
      <c r="B635">
        <f t="shared" si="36"/>
        <v>27</v>
      </c>
      <c r="C635">
        <f t="shared" si="37"/>
        <v>9</v>
      </c>
      <c r="D635">
        <f t="shared" si="38"/>
        <v>2018</v>
      </c>
      <c r="E635" s="11">
        <v>3.1309999999999998</v>
      </c>
      <c r="F635" s="11">
        <v>101.54900000000001</v>
      </c>
      <c r="G635" s="11">
        <v>27.4</v>
      </c>
      <c r="H635" s="1" t="s">
        <v>0</v>
      </c>
      <c r="I635">
        <v>86.1</v>
      </c>
      <c r="J635" t="s">
        <v>6</v>
      </c>
      <c r="K635">
        <v>22.5</v>
      </c>
      <c r="L635">
        <v>27.1</v>
      </c>
      <c r="M635">
        <f t="shared" si="39"/>
        <v>1</v>
      </c>
    </row>
    <row r="636" spans="1:13" x14ac:dyDescent="0.2">
      <c r="A636" s="9">
        <v>43371</v>
      </c>
      <c r="B636">
        <f t="shared" si="36"/>
        <v>28</v>
      </c>
      <c r="C636">
        <f t="shared" si="37"/>
        <v>9</v>
      </c>
      <c r="D636">
        <f t="shared" si="38"/>
        <v>2018</v>
      </c>
      <c r="E636" s="11">
        <v>3.1309999999999998</v>
      </c>
      <c r="F636" s="11">
        <v>101.54900000000001</v>
      </c>
      <c r="G636" s="11">
        <v>27.4</v>
      </c>
      <c r="H636" s="1" t="s">
        <v>0</v>
      </c>
      <c r="I636">
        <v>0</v>
      </c>
      <c r="J636" t="s">
        <v>6</v>
      </c>
      <c r="K636">
        <v>24.1</v>
      </c>
      <c r="L636">
        <v>29.2</v>
      </c>
      <c r="M636">
        <f t="shared" si="39"/>
        <v>0</v>
      </c>
    </row>
    <row r="637" spans="1:13" x14ac:dyDescent="0.2">
      <c r="A637" s="9">
        <v>43372</v>
      </c>
      <c r="B637">
        <f t="shared" si="36"/>
        <v>29</v>
      </c>
      <c r="C637">
        <f t="shared" si="37"/>
        <v>9</v>
      </c>
      <c r="D637">
        <f t="shared" si="38"/>
        <v>2018</v>
      </c>
      <c r="E637" s="11">
        <v>3.1309999999999998</v>
      </c>
      <c r="F637" s="11">
        <v>101.54900000000001</v>
      </c>
      <c r="G637" s="11">
        <v>27.4</v>
      </c>
      <c r="H637" s="1" t="s">
        <v>0</v>
      </c>
      <c r="I637">
        <v>0</v>
      </c>
      <c r="J637" t="s">
        <v>6</v>
      </c>
      <c r="K637">
        <v>24.9</v>
      </c>
      <c r="L637">
        <v>28.6</v>
      </c>
      <c r="M637">
        <f t="shared" si="39"/>
        <v>0</v>
      </c>
    </row>
    <row r="638" spans="1:13" x14ac:dyDescent="0.2">
      <c r="A638" s="9">
        <v>43373</v>
      </c>
      <c r="B638">
        <f t="shared" si="36"/>
        <v>30</v>
      </c>
      <c r="C638">
        <f t="shared" si="37"/>
        <v>9</v>
      </c>
      <c r="D638">
        <f t="shared" si="38"/>
        <v>2018</v>
      </c>
      <c r="E638" s="11">
        <v>3.1309999999999998</v>
      </c>
      <c r="F638" s="11">
        <v>101.54900000000001</v>
      </c>
      <c r="G638" s="11">
        <v>27.4</v>
      </c>
      <c r="H638" s="1" t="s">
        <v>0</v>
      </c>
      <c r="I638">
        <v>0.3</v>
      </c>
      <c r="J638" t="s">
        <v>6</v>
      </c>
      <c r="K638">
        <v>24.8</v>
      </c>
      <c r="L638">
        <v>28.1</v>
      </c>
      <c r="M638">
        <f t="shared" si="39"/>
        <v>1</v>
      </c>
    </row>
    <row r="639" spans="1:13" x14ac:dyDescent="0.2">
      <c r="A639" s="9">
        <v>43374</v>
      </c>
      <c r="B639">
        <f t="shared" si="36"/>
        <v>1</v>
      </c>
      <c r="C639">
        <f t="shared" si="37"/>
        <v>10</v>
      </c>
      <c r="D639">
        <f t="shared" si="38"/>
        <v>2018</v>
      </c>
      <c r="E639" s="11">
        <v>3.1309999999999998</v>
      </c>
      <c r="F639" s="11">
        <v>101.54900000000001</v>
      </c>
      <c r="G639" s="11">
        <v>27.4</v>
      </c>
      <c r="H639" s="1" t="s">
        <v>0</v>
      </c>
      <c r="I639">
        <v>22.9</v>
      </c>
      <c r="J639" t="s">
        <v>6</v>
      </c>
      <c r="K639" t="s">
        <v>6</v>
      </c>
      <c r="L639">
        <v>27.2</v>
      </c>
      <c r="M639">
        <f t="shared" si="39"/>
        <v>1</v>
      </c>
    </row>
    <row r="640" spans="1:13" x14ac:dyDescent="0.2">
      <c r="A640" s="9">
        <v>43375</v>
      </c>
      <c r="B640">
        <f t="shared" si="36"/>
        <v>2</v>
      </c>
      <c r="C640">
        <f t="shared" si="37"/>
        <v>10</v>
      </c>
      <c r="D640">
        <f t="shared" si="38"/>
        <v>2018</v>
      </c>
      <c r="E640" s="11">
        <v>3.1309999999999998</v>
      </c>
      <c r="F640" s="11">
        <v>101.54900000000001</v>
      </c>
      <c r="G640" s="11">
        <v>27.4</v>
      </c>
      <c r="H640" s="1" t="s">
        <v>0</v>
      </c>
      <c r="I640">
        <v>26.2</v>
      </c>
      <c r="J640">
        <v>32.700000000000003</v>
      </c>
      <c r="K640">
        <v>24.3</v>
      </c>
      <c r="L640">
        <v>26.9</v>
      </c>
      <c r="M640">
        <f t="shared" si="39"/>
        <v>1</v>
      </c>
    </row>
    <row r="641" spans="1:13" x14ac:dyDescent="0.2">
      <c r="A641" s="9">
        <v>43376</v>
      </c>
      <c r="B641">
        <f t="shared" si="36"/>
        <v>3</v>
      </c>
      <c r="C641">
        <f t="shared" si="37"/>
        <v>10</v>
      </c>
      <c r="D641">
        <f t="shared" si="38"/>
        <v>2018</v>
      </c>
      <c r="E641" s="11">
        <v>3.1309999999999998</v>
      </c>
      <c r="F641" s="11">
        <v>101.54900000000001</v>
      </c>
      <c r="G641" s="11">
        <v>27.4</v>
      </c>
      <c r="H641" s="1" t="s">
        <v>0</v>
      </c>
      <c r="I641">
        <v>4.0999999999999996</v>
      </c>
      <c r="J641" t="s">
        <v>6</v>
      </c>
      <c r="K641">
        <v>24.6</v>
      </c>
      <c r="L641">
        <v>27.3</v>
      </c>
      <c r="M641">
        <f t="shared" si="39"/>
        <v>1</v>
      </c>
    </row>
    <row r="642" spans="1:13" x14ac:dyDescent="0.2">
      <c r="A642" s="9">
        <v>43377</v>
      </c>
      <c r="B642">
        <f t="shared" si="36"/>
        <v>4</v>
      </c>
      <c r="C642">
        <f t="shared" si="37"/>
        <v>10</v>
      </c>
      <c r="D642">
        <f t="shared" si="38"/>
        <v>2018</v>
      </c>
      <c r="E642" s="11">
        <v>3.1309999999999998</v>
      </c>
      <c r="F642" s="11">
        <v>101.54900000000001</v>
      </c>
      <c r="G642" s="11">
        <v>27.4</v>
      </c>
      <c r="H642" s="1" t="s">
        <v>0</v>
      </c>
      <c r="I642">
        <v>9.4</v>
      </c>
      <c r="J642" t="s">
        <v>6</v>
      </c>
      <c r="K642">
        <v>24.4</v>
      </c>
      <c r="L642">
        <v>27.1</v>
      </c>
      <c r="M642">
        <f t="shared" si="39"/>
        <v>1</v>
      </c>
    </row>
    <row r="643" spans="1:13" x14ac:dyDescent="0.2">
      <c r="A643" s="9">
        <v>43378</v>
      </c>
      <c r="B643">
        <f t="shared" ref="B643:B706" si="40">DAY(A643)</f>
        <v>5</v>
      </c>
      <c r="C643">
        <f t="shared" ref="C643:C706" si="41">MONTH(A643)</f>
        <v>10</v>
      </c>
      <c r="D643">
        <f t="shared" ref="D643:D706" si="42">YEAR(A643)</f>
        <v>2018</v>
      </c>
      <c r="E643" s="11">
        <v>3.1309999999999998</v>
      </c>
      <c r="F643" s="11">
        <v>101.54900000000001</v>
      </c>
      <c r="G643" s="11">
        <v>27.4</v>
      </c>
      <c r="H643" s="1" t="s">
        <v>0</v>
      </c>
      <c r="I643">
        <v>1.8</v>
      </c>
      <c r="J643" t="s">
        <v>6</v>
      </c>
      <c r="K643">
        <v>24.6</v>
      </c>
      <c r="L643">
        <v>29</v>
      </c>
      <c r="M643">
        <f t="shared" ref="M643:M706" si="43">IF(ISNUMBER(I643), IF(I643&gt;0, 1, 0), "")</f>
        <v>1</v>
      </c>
    </row>
    <row r="644" spans="1:13" x14ac:dyDescent="0.2">
      <c r="A644" s="9">
        <v>43379</v>
      </c>
      <c r="B644">
        <f t="shared" si="40"/>
        <v>6</v>
      </c>
      <c r="C644">
        <f t="shared" si="41"/>
        <v>10</v>
      </c>
      <c r="D644">
        <f t="shared" si="42"/>
        <v>2018</v>
      </c>
      <c r="E644" s="11">
        <v>3.1309999999999998</v>
      </c>
      <c r="F644" s="11">
        <v>101.54900000000001</v>
      </c>
      <c r="G644" s="11">
        <v>27.4</v>
      </c>
      <c r="H644" s="1" t="s">
        <v>0</v>
      </c>
      <c r="I644">
        <v>0</v>
      </c>
      <c r="J644" t="s">
        <v>6</v>
      </c>
      <c r="K644">
        <v>25</v>
      </c>
      <c r="L644">
        <v>29.2</v>
      </c>
      <c r="M644">
        <f t="shared" si="43"/>
        <v>0</v>
      </c>
    </row>
    <row r="645" spans="1:13" x14ac:dyDescent="0.2">
      <c r="A645" s="9">
        <v>43380</v>
      </c>
      <c r="B645">
        <f t="shared" si="40"/>
        <v>7</v>
      </c>
      <c r="C645">
        <f t="shared" si="41"/>
        <v>10</v>
      </c>
      <c r="D645">
        <f t="shared" si="42"/>
        <v>2018</v>
      </c>
      <c r="E645" s="11">
        <v>3.1309999999999998</v>
      </c>
      <c r="F645" s="11">
        <v>101.54900000000001</v>
      </c>
      <c r="G645" s="11">
        <v>27.4</v>
      </c>
      <c r="H645" s="1" t="s">
        <v>0</v>
      </c>
      <c r="I645">
        <v>0.8</v>
      </c>
      <c r="J645" t="s">
        <v>6</v>
      </c>
      <c r="K645" t="s">
        <v>6</v>
      </c>
      <c r="L645">
        <v>27</v>
      </c>
      <c r="M645">
        <f t="shared" si="43"/>
        <v>1</v>
      </c>
    </row>
    <row r="646" spans="1:13" x14ac:dyDescent="0.2">
      <c r="A646" s="9">
        <v>43381</v>
      </c>
      <c r="B646">
        <f t="shared" si="40"/>
        <v>8</v>
      </c>
      <c r="C646">
        <f t="shared" si="41"/>
        <v>10</v>
      </c>
      <c r="D646">
        <f t="shared" si="42"/>
        <v>2018</v>
      </c>
      <c r="E646" s="11">
        <v>3.1309999999999998</v>
      </c>
      <c r="F646" s="11">
        <v>101.54900000000001</v>
      </c>
      <c r="G646" s="11">
        <v>27.4</v>
      </c>
      <c r="H646" s="1" t="s">
        <v>0</v>
      </c>
      <c r="I646">
        <v>5.6</v>
      </c>
      <c r="J646" t="s">
        <v>6</v>
      </c>
      <c r="K646" t="s">
        <v>6</v>
      </c>
      <c r="L646">
        <v>25.5</v>
      </c>
      <c r="M646">
        <f t="shared" si="43"/>
        <v>1</v>
      </c>
    </row>
    <row r="647" spans="1:13" x14ac:dyDescent="0.2">
      <c r="A647" s="9">
        <v>43382</v>
      </c>
      <c r="B647">
        <f t="shared" si="40"/>
        <v>9</v>
      </c>
      <c r="C647">
        <f t="shared" si="41"/>
        <v>10</v>
      </c>
      <c r="D647">
        <f t="shared" si="42"/>
        <v>2018</v>
      </c>
      <c r="E647" s="11">
        <v>3.1309999999999998</v>
      </c>
      <c r="F647" s="11">
        <v>101.54900000000001</v>
      </c>
      <c r="G647" s="11">
        <v>27.4</v>
      </c>
      <c r="H647" s="1" t="s">
        <v>0</v>
      </c>
      <c r="I647">
        <v>33.5</v>
      </c>
      <c r="J647">
        <v>31.5</v>
      </c>
      <c r="K647">
        <v>23.4</v>
      </c>
      <c r="L647">
        <v>25.7</v>
      </c>
      <c r="M647">
        <f t="shared" si="43"/>
        <v>1</v>
      </c>
    </row>
    <row r="648" spans="1:13" x14ac:dyDescent="0.2">
      <c r="A648" s="9">
        <v>43383</v>
      </c>
      <c r="B648">
        <f t="shared" si="40"/>
        <v>10</v>
      </c>
      <c r="C648">
        <f t="shared" si="41"/>
        <v>10</v>
      </c>
      <c r="D648">
        <f t="shared" si="42"/>
        <v>2018</v>
      </c>
      <c r="E648" s="11">
        <v>3.1309999999999998</v>
      </c>
      <c r="F648" s="11">
        <v>101.54900000000001</v>
      </c>
      <c r="G648" s="11">
        <v>27.4</v>
      </c>
      <c r="H648" s="1" t="s">
        <v>0</v>
      </c>
      <c r="I648">
        <v>40.9</v>
      </c>
      <c r="J648" t="s">
        <v>6</v>
      </c>
      <c r="K648">
        <v>23.8</v>
      </c>
      <c r="L648">
        <v>25.9</v>
      </c>
      <c r="M648">
        <f t="shared" si="43"/>
        <v>1</v>
      </c>
    </row>
    <row r="649" spans="1:13" x14ac:dyDescent="0.2">
      <c r="A649" s="9">
        <v>43384</v>
      </c>
      <c r="B649">
        <f t="shared" si="40"/>
        <v>11</v>
      </c>
      <c r="C649">
        <f t="shared" si="41"/>
        <v>10</v>
      </c>
      <c r="D649">
        <f t="shared" si="42"/>
        <v>2018</v>
      </c>
      <c r="E649" s="11">
        <v>3.1309999999999998</v>
      </c>
      <c r="F649" s="11">
        <v>101.54900000000001</v>
      </c>
      <c r="G649" s="11">
        <v>27.4</v>
      </c>
      <c r="H649" s="1" t="s">
        <v>0</v>
      </c>
      <c r="I649">
        <v>24.9</v>
      </c>
      <c r="J649" t="s">
        <v>6</v>
      </c>
      <c r="K649" t="s">
        <v>6</v>
      </c>
      <c r="L649">
        <v>26.7</v>
      </c>
      <c r="M649">
        <f t="shared" si="43"/>
        <v>1</v>
      </c>
    </row>
    <row r="650" spans="1:13" x14ac:dyDescent="0.2">
      <c r="A650" s="9">
        <v>43385</v>
      </c>
      <c r="B650">
        <f t="shared" si="40"/>
        <v>12</v>
      </c>
      <c r="C650">
        <f t="shared" si="41"/>
        <v>10</v>
      </c>
      <c r="D650">
        <f t="shared" si="42"/>
        <v>2018</v>
      </c>
      <c r="E650" s="11">
        <v>3.1309999999999998</v>
      </c>
      <c r="F650" s="11">
        <v>101.54900000000001</v>
      </c>
      <c r="G650" s="11">
        <v>27.4</v>
      </c>
      <c r="H650" s="1" t="s">
        <v>0</v>
      </c>
      <c r="I650">
        <v>95.8</v>
      </c>
      <c r="J650" t="s">
        <v>6</v>
      </c>
      <c r="K650">
        <v>23.3</v>
      </c>
      <c r="L650">
        <v>25.7</v>
      </c>
      <c r="M650">
        <f t="shared" si="43"/>
        <v>1</v>
      </c>
    </row>
    <row r="651" spans="1:13" x14ac:dyDescent="0.2">
      <c r="A651" s="9">
        <v>43386</v>
      </c>
      <c r="B651">
        <f t="shared" si="40"/>
        <v>13</v>
      </c>
      <c r="C651">
        <f t="shared" si="41"/>
        <v>10</v>
      </c>
      <c r="D651">
        <f t="shared" si="42"/>
        <v>2018</v>
      </c>
      <c r="E651" s="11">
        <v>3.1309999999999998</v>
      </c>
      <c r="F651" s="11">
        <v>101.54900000000001</v>
      </c>
      <c r="G651" s="11">
        <v>27.4</v>
      </c>
      <c r="H651" s="1" t="s">
        <v>0</v>
      </c>
      <c r="I651">
        <v>27.4</v>
      </c>
      <c r="J651" t="s">
        <v>6</v>
      </c>
      <c r="K651" t="s">
        <v>6</v>
      </c>
      <c r="L651">
        <v>26.3</v>
      </c>
      <c r="M651">
        <f t="shared" si="43"/>
        <v>1</v>
      </c>
    </row>
    <row r="652" spans="1:13" x14ac:dyDescent="0.2">
      <c r="A652" s="9">
        <v>43387</v>
      </c>
      <c r="B652">
        <f t="shared" si="40"/>
        <v>14</v>
      </c>
      <c r="C652">
        <f t="shared" si="41"/>
        <v>10</v>
      </c>
      <c r="D652">
        <f t="shared" si="42"/>
        <v>2018</v>
      </c>
      <c r="E652" s="11">
        <v>3.1309999999999998</v>
      </c>
      <c r="F652" s="11">
        <v>101.54900000000001</v>
      </c>
      <c r="G652" s="11">
        <v>27.4</v>
      </c>
      <c r="H652" s="1" t="s">
        <v>0</v>
      </c>
      <c r="I652">
        <v>11.4</v>
      </c>
      <c r="J652" t="s">
        <v>6</v>
      </c>
      <c r="K652">
        <v>22.9</v>
      </c>
      <c r="L652">
        <v>27.2</v>
      </c>
      <c r="M652">
        <f t="shared" si="43"/>
        <v>1</v>
      </c>
    </row>
    <row r="653" spans="1:13" x14ac:dyDescent="0.2">
      <c r="A653" s="9">
        <v>43388</v>
      </c>
      <c r="B653">
        <f t="shared" si="40"/>
        <v>15</v>
      </c>
      <c r="C653">
        <f t="shared" si="41"/>
        <v>10</v>
      </c>
      <c r="D653">
        <f t="shared" si="42"/>
        <v>2018</v>
      </c>
      <c r="E653" s="11">
        <v>3.1309999999999998</v>
      </c>
      <c r="F653" s="11">
        <v>101.54900000000001</v>
      </c>
      <c r="G653" s="11">
        <v>27.4</v>
      </c>
      <c r="H653" s="1" t="s">
        <v>0</v>
      </c>
      <c r="I653">
        <v>0.8</v>
      </c>
      <c r="J653" t="s">
        <v>6</v>
      </c>
      <c r="K653">
        <v>23.2</v>
      </c>
      <c r="L653">
        <v>26.7</v>
      </c>
      <c r="M653">
        <f t="shared" si="43"/>
        <v>1</v>
      </c>
    </row>
    <row r="654" spans="1:13" x14ac:dyDescent="0.2">
      <c r="A654" s="9">
        <v>43389</v>
      </c>
      <c r="B654">
        <f t="shared" si="40"/>
        <v>16</v>
      </c>
      <c r="C654">
        <f t="shared" si="41"/>
        <v>10</v>
      </c>
      <c r="D654">
        <f t="shared" si="42"/>
        <v>2018</v>
      </c>
      <c r="E654" s="11">
        <v>3.1309999999999998</v>
      </c>
      <c r="F654" s="11">
        <v>101.54900000000001</v>
      </c>
      <c r="G654" s="11">
        <v>27.4</v>
      </c>
      <c r="H654" s="1" t="s">
        <v>0</v>
      </c>
      <c r="I654">
        <v>0.3</v>
      </c>
      <c r="J654" t="s">
        <v>6</v>
      </c>
      <c r="K654" t="s">
        <v>6</v>
      </c>
      <c r="L654">
        <v>26.7</v>
      </c>
      <c r="M654">
        <f t="shared" si="43"/>
        <v>1</v>
      </c>
    </row>
    <row r="655" spans="1:13" x14ac:dyDescent="0.2">
      <c r="A655" s="9">
        <v>43390</v>
      </c>
      <c r="B655">
        <f t="shared" si="40"/>
        <v>17</v>
      </c>
      <c r="C655">
        <f t="shared" si="41"/>
        <v>10</v>
      </c>
      <c r="D655">
        <f t="shared" si="42"/>
        <v>2018</v>
      </c>
      <c r="E655" s="11">
        <v>3.1309999999999998</v>
      </c>
      <c r="F655" s="11">
        <v>101.54900000000001</v>
      </c>
      <c r="G655" s="11">
        <v>27.4</v>
      </c>
      <c r="H655" s="1" t="s">
        <v>0</v>
      </c>
      <c r="I655">
        <v>4.8</v>
      </c>
      <c r="J655" t="s">
        <v>6</v>
      </c>
      <c r="K655">
        <v>23.3</v>
      </c>
      <c r="L655">
        <v>27.7</v>
      </c>
      <c r="M655">
        <f t="shared" si="43"/>
        <v>1</v>
      </c>
    </row>
    <row r="656" spans="1:13" x14ac:dyDescent="0.2">
      <c r="A656" s="9">
        <v>43391</v>
      </c>
      <c r="B656">
        <f t="shared" si="40"/>
        <v>18</v>
      </c>
      <c r="C656">
        <f t="shared" si="41"/>
        <v>10</v>
      </c>
      <c r="D656">
        <f t="shared" si="42"/>
        <v>2018</v>
      </c>
      <c r="E656" s="11">
        <v>3.1309999999999998</v>
      </c>
      <c r="F656" s="11">
        <v>101.54900000000001</v>
      </c>
      <c r="G656" s="11">
        <v>27.4</v>
      </c>
      <c r="H656" s="1" t="s">
        <v>0</v>
      </c>
      <c r="I656">
        <v>0.8</v>
      </c>
      <c r="J656" t="s">
        <v>6</v>
      </c>
      <c r="K656" t="s">
        <v>6</v>
      </c>
      <c r="L656">
        <v>25.2</v>
      </c>
      <c r="M656">
        <f t="shared" si="43"/>
        <v>1</v>
      </c>
    </row>
    <row r="657" spans="1:13" x14ac:dyDescent="0.2">
      <c r="A657" s="9">
        <v>43392</v>
      </c>
      <c r="B657">
        <f t="shared" si="40"/>
        <v>19</v>
      </c>
      <c r="C657">
        <f t="shared" si="41"/>
        <v>10</v>
      </c>
      <c r="D657">
        <f t="shared" si="42"/>
        <v>2018</v>
      </c>
      <c r="E657" s="11">
        <v>3.1309999999999998</v>
      </c>
      <c r="F657" s="11">
        <v>101.54900000000001</v>
      </c>
      <c r="G657" s="11">
        <v>27.4</v>
      </c>
      <c r="H657" s="1" t="s">
        <v>0</v>
      </c>
      <c r="I657">
        <v>2.8</v>
      </c>
      <c r="J657">
        <v>31.5</v>
      </c>
      <c r="K657">
        <v>23.2</v>
      </c>
      <c r="L657">
        <v>27.4</v>
      </c>
      <c r="M657">
        <f t="shared" si="43"/>
        <v>1</v>
      </c>
    </row>
    <row r="658" spans="1:13" x14ac:dyDescent="0.2">
      <c r="A658" s="9">
        <v>43393</v>
      </c>
      <c r="B658">
        <f t="shared" si="40"/>
        <v>20</v>
      </c>
      <c r="C658">
        <f t="shared" si="41"/>
        <v>10</v>
      </c>
      <c r="D658">
        <f t="shared" si="42"/>
        <v>2018</v>
      </c>
      <c r="E658" s="11">
        <v>3.1309999999999998</v>
      </c>
      <c r="F658" s="11">
        <v>101.54900000000001</v>
      </c>
      <c r="G658" s="11">
        <v>27.4</v>
      </c>
      <c r="H658" s="1" t="s">
        <v>0</v>
      </c>
      <c r="I658">
        <v>0</v>
      </c>
      <c r="J658" t="s">
        <v>6</v>
      </c>
      <c r="K658">
        <v>24</v>
      </c>
      <c r="L658">
        <v>28.3</v>
      </c>
      <c r="M658">
        <f t="shared" si="43"/>
        <v>0</v>
      </c>
    </row>
    <row r="659" spans="1:13" x14ac:dyDescent="0.2">
      <c r="A659" s="9">
        <v>43394</v>
      </c>
      <c r="B659">
        <f t="shared" si="40"/>
        <v>21</v>
      </c>
      <c r="C659">
        <f t="shared" si="41"/>
        <v>10</v>
      </c>
      <c r="D659">
        <f t="shared" si="42"/>
        <v>2018</v>
      </c>
      <c r="E659" s="11">
        <v>3.1309999999999998</v>
      </c>
      <c r="F659" s="11">
        <v>101.54900000000001</v>
      </c>
      <c r="G659" s="11">
        <v>27.4</v>
      </c>
      <c r="H659" s="1" t="s">
        <v>0</v>
      </c>
      <c r="I659">
        <v>0</v>
      </c>
      <c r="J659" t="s">
        <v>6</v>
      </c>
      <c r="K659" t="s">
        <v>6</v>
      </c>
      <c r="L659">
        <v>27.4</v>
      </c>
      <c r="M659">
        <f t="shared" si="43"/>
        <v>0</v>
      </c>
    </row>
    <row r="660" spans="1:13" x14ac:dyDescent="0.2">
      <c r="A660" s="9">
        <v>43395</v>
      </c>
      <c r="B660">
        <f t="shared" si="40"/>
        <v>22</v>
      </c>
      <c r="C660">
        <f t="shared" si="41"/>
        <v>10</v>
      </c>
      <c r="D660">
        <f t="shared" si="42"/>
        <v>2018</v>
      </c>
      <c r="E660" s="11">
        <v>3.1309999999999998</v>
      </c>
      <c r="F660" s="11">
        <v>101.54900000000001</v>
      </c>
      <c r="G660" s="11">
        <v>27.4</v>
      </c>
      <c r="H660" s="1" t="s">
        <v>0</v>
      </c>
      <c r="I660">
        <v>6.1</v>
      </c>
      <c r="J660" t="s">
        <v>6</v>
      </c>
      <c r="K660" t="s">
        <v>6</v>
      </c>
      <c r="L660">
        <v>27.3</v>
      </c>
      <c r="M660">
        <f t="shared" si="43"/>
        <v>1</v>
      </c>
    </row>
    <row r="661" spans="1:13" x14ac:dyDescent="0.2">
      <c r="A661" s="9">
        <v>43396</v>
      </c>
      <c r="B661">
        <f t="shared" si="40"/>
        <v>23</v>
      </c>
      <c r="C661">
        <f t="shared" si="41"/>
        <v>10</v>
      </c>
      <c r="D661">
        <f t="shared" si="42"/>
        <v>2018</v>
      </c>
      <c r="E661" s="11">
        <v>3.1309999999999998</v>
      </c>
      <c r="F661" s="11">
        <v>101.54900000000001</v>
      </c>
      <c r="G661" s="11">
        <v>27.4</v>
      </c>
      <c r="H661" s="1" t="s">
        <v>0</v>
      </c>
      <c r="I661">
        <v>67.3</v>
      </c>
      <c r="J661" t="s">
        <v>6</v>
      </c>
      <c r="K661">
        <v>22.7</v>
      </c>
      <c r="L661">
        <v>25.9</v>
      </c>
      <c r="M661">
        <f t="shared" si="43"/>
        <v>1</v>
      </c>
    </row>
    <row r="662" spans="1:13" x14ac:dyDescent="0.2">
      <c r="A662" s="9">
        <v>43397</v>
      </c>
      <c r="B662">
        <f t="shared" si="40"/>
        <v>24</v>
      </c>
      <c r="C662">
        <f t="shared" si="41"/>
        <v>10</v>
      </c>
      <c r="D662">
        <f t="shared" si="42"/>
        <v>2018</v>
      </c>
      <c r="E662" s="11">
        <v>3.1309999999999998</v>
      </c>
      <c r="F662" s="11">
        <v>101.54900000000001</v>
      </c>
      <c r="G662" s="11">
        <v>27.4</v>
      </c>
      <c r="H662" s="1" t="s">
        <v>0</v>
      </c>
      <c r="I662">
        <v>10.9</v>
      </c>
      <c r="J662" t="s">
        <v>6</v>
      </c>
      <c r="K662">
        <v>23.7</v>
      </c>
      <c r="L662">
        <v>27.5</v>
      </c>
      <c r="M662">
        <f t="shared" si="43"/>
        <v>1</v>
      </c>
    </row>
    <row r="663" spans="1:13" x14ac:dyDescent="0.2">
      <c r="A663" s="9">
        <v>43398</v>
      </c>
      <c r="B663">
        <f t="shared" si="40"/>
        <v>25</v>
      </c>
      <c r="C663">
        <f t="shared" si="41"/>
        <v>10</v>
      </c>
      <c r="D663">
        <f t="shared" si="42"/>
        <v>2018</v>
      </c>
      <c r="E663" s="11">
        <v>3.1309999999999998</v>
      </c>
      <c r="F663" s="11">
        <v>101.54900000000001</v>
      </c>
      <c r="G663" s="11">
        <v>27.4</v>
      </c>
      <c r="H663" s="1" t="s">
        <v>0</v>
      </c>
      <c r="I663">
        <v>0</v>
      </c>
      <c r="J663" t="s">
        <v>6</v>
      </c>
      <c r="K663">
        <v>24.2</v>
      </c>
      <c r="L663">
        <v>28.6</v>
      </c>
      <c r="M663">
        <f t="shared" si="43"/>
        <v>0</v>
      </c>
    </row>
    <row r="664" spans="1:13" x14ac:dyDescent="0.2">
      <c r="A664" s="9">
        <v>43399</v>
      </c>
      <c r="B664">
        <f t="shared" si="40"/>
        <v>26</v>
      </c>
      <c r="C664">
        <f t="shared" si="41"/>
        <v>10</v>
      </c>
      <c r="D664">
        <f t="shared" si="42"/>
        <v>2018</v>
      </c>
      <c r="E664" s="11">
        <v>3.1309999999999998</v>
      </c>
      <c r="F664" s="11">
        <v>101.54900000000001</v>
      </c>
      <c r="G664" s="11">
        <v>27.4</v>
      </c>
      <c r="H664" s="1" t="s">
        <v>0</v>
      </c>
      <c r="I664">
        <v>0</v>
      </c>
      <c r="J664" t="s">
        <v>6</v>
      </c>
      <c r="K664" t="s">
        <v>6</v>
      </c>
      <c r="L664">
        <v>27.3</v>
      </c>
      <c r="M664">
        <f t="shared" si="43"/>
        <v>0</v>
      </c>
    </row>
    <row r="665" spans="1:13" x14ac:dyDescent="0.2">
      <c r="A665" s="9">
        <v>43400</v>
      </c>
      <c r="B665">
        <f t="shared" si="40"/>
        <v>27</v>
      </c>
      <c r="C665">
        <f t="shared" si="41"/>
        <v>10</v>
      </c>
      <c r="D665">
        <f t="shared" si="42"/>
        <v>2018</v>
      </c>
      <c r="E665" s="11">
        <v>3.1309999999999998</v>
      </c>
      <c r="F665" s="11">
        <v>101.54900000000001</v>
      </c>
      <c r="G665" s="11">
        <v>27.4</v>
      </c>
      <c r="H665" s="1" t="s">
        <v>0</v>
      </c>
      <c r="I665">
        <v>10.199999999999999</v>
      </c>
      <c r="J665" t="s">
        <v>6</v>
      </c>
      <c r="K665" t="s">
        <v>6</v>
      </c>
      <c r="L665">
        <v>27.1</v>
      </c>
      <c r="M665">
        <f t="shared" si="43"/>
        <v>1</v>
      </c>
    </row>
    <row r="666" spans="1:13" x14ac:dyDescent="0.2">
      <c r="A666" s="9">
        <v>43401</v>
      </c>
      <c r="B666">
        <f t="shared" si="40"/>
        <v>28</v>
      </c>
      <c r="C666">
        <f t="shared" si="41"/>
        <v>10</v>
      </c>
      <c r="D666">
        <f t="shared" si="42"/>
        <v>2018</v>
      </c>
      <c r="E666" s="11">
        <v>3.1309999999999998</v>
      </c>
      <c r="F666" s="11">
        <v>101.54900000000001</v>
      </c>
      <c r="G666" s="11">
        <v>27.4</v>
      </c>
      <c r="H666" s="1" t="s">
        <v>0</v>
      </c>
      <c r="I666">
        <v>11.4</v>
      </c>
      <c r="J666" t="s">
        <v>6</v>
      </c>
      <c r="K666">
        <v>24.4</v>
      </c>
      <c r="L666">
        <v>27.3</v>
      </c>
      <c r="M666">
        <f t="shared" si="43"/>
        <v>1</v>
      </c>
    </row>
    <row r="667" spans="1:13" x14ac:dyDescent="0.2">
      <c r="A667" s="9">
        <v>43402</v>
      </c>
      <c r="B667">
        <f t="shared" si="40"/>
        <v>29</v>
      </c>
      <c r="C667">
        <f t="shared" si="41"/>
        <v>10</v>
      </c>
      <c r="D667">
        <f t="shared" si="42"/>
        <v>2018</v>
      </c>
      <c r="E667" s="11">
        <v>3.1309999999999998</v>
      </c>
      <c r="F667" s="11">
        <v>101.54900000000001</v>
      </c>
      <c r="G667" s="11">
        <v>27.4</v>
      </c>
      <c r="H667" s="1" t="s">
        <v>0</v>
      </c>
      <c r="I667">
        <v>5.8</v>
      </c>
      <c r="J667" t="s">
        <v>6</v>
      </c>
      <c r="K667" t="s">
        <v>6</v>
      </c>
      <c r="L667">
        <v>27.3</v>
      </c>
      <c r="M667">
        <f t="shared" si="43"/>
        <v>1</v>
      </c>
    </row>
    <row r="668" spans="1:13" x14ac:dyDescent="0.2">
      <c r="A668" s="9">
        <v>43403</v>
      </c>
      <c r="B668">
        <f t="shared" si="40"/>
        <v>30</v>
      </c>
      <c r="C668">
        <f t="shared" si="41"/>
        <v>10</v>
      </c>
      <c r="D668">
        <f t="shared" si="42"/>
        <v>2018</v>
      </c>
      <c r="E668" s="11">
        <v>3.1309999999999998</v>
      </c>
      <c r="F668" s="11">
        <v>101.54900000000001</v>
      </c>
      <c r="G668" s="11">
        <v>27.4</v>
      </c>
      <c r="H668" s="1" t="s">
        <v>0</v>
      </c>
      <c r="I668">
        <v>6.1</v>
      </c>
      <c r="J668" t="s">
        <v>6</v>
      </c>
      <c r="K668">
        <v>24.3</v>
      </c>
      <c r="L668">
        <v>26.9</v>
      </c>
      <c r="M668">
        <f t="shared" si="43"/>
        <v>1</v>
      </c>
    </row>
    <row r="669" spans="1:13" x14ac:dyDescent="0.2">
      <c r="A669" s="9">
        <v>43404</v>
      </c>
      <c r="B669">
        <f t="shared" si="40"/>
        <v>31</v>
      </c>
      <c r="C669">
        <f t="shared" si="41"/>
        <v>10</v>
      </c>
      <c r="D669">
        <f t="shared" si="42"/>
        <v>2018</v>
      </c>
      <c r="E669" s="11">
        <v>3.1309999999999998</v>
      </c>
      <c r="F669" s="11">
        <v>101.54900000000001</v>
      </c>
      <c r="G669" s="11">
        <v>27.4</v>
      </c>
      <c r="H669" s="1" t="s">
        <v>0</v>
      </c>
      <c r="I669">
        <v>29.7</v>
      </c>
      <c r="J669" t="s">
        <v>6</v>
      </c>
      <c r="K669" t="s">
        <v>6</v>
      </c>
      <c r="L669">
        <v>26.4</v>
      </c>
      <c r="M669">
        <f t="shared" si="43"/>
        <v>1</v>
      </c>
    </row>
    <row r="670" spans="1:13" x14ac:dyDescent="0.2">
      <c r="A670" s="9">
        <v>43405</v>
      </c>
      <c r="B670">
        <f t="shared" si="40"/>
        <v>1</v>
      </c>
      <c r="C670">
        <f t="shared" si="41"/>
        <v>11</v>
      </c>
      <c r="D670">
        <f t="shared" si="42"/>
        <v>2018</v>
      </c>
      <c r="E670" s="11">
        <v>3.1309999999999998</v>
      </c>
      <c r="F670" s="11">
        <v>101.54900000000001</v>
      </c>
      <c r="G670" s="11">
        <v>27.4</v>
      </c>
      <c r="H670" s="1" t="s">
        <v>0</v>
      </c>
      <c r="I670">
        <v>10.4</v>
      </c>
      <c r="J670" t="s">
        <v>6</v>
      </c>
      <c r="K670">
        <v>23.7</v>
      </c>
      <c r="L670">
        <v>27.2</v>
      </c>
      <c r="M670">
        <f t="shared" si="43"/>
        <v>1</v>
      </c>
    </row>
    <row r="671" spans="1:13" x14ac:dyDescent="0.2">
      <c r="A671" s="9">
        <v>43406</v>
      </c>
      <c r="B671">
        <f t="shared" si="40"/>
        <v>2</v>
      </c>
      <c r="C671">
        <f t="shared" si="41"/>
        <v>11</v>
      </c>
      <c r="D671">
        <f t="shared" si="42"/>
        <v>2018</v>
      </c>
      <c r="E671" s="11">
        <v>3.1309999999999998</v>
      </c>
      <c r="F671" s="11">
        <v>101.54900000000001</v>
      </c>
      <c r="G671" s="11">
        <v>27.4</v>
      </c>
      <c r="H671" s="1" t="s">
        <v>0</v>
      </c>
      <c r="I671">
        <v>6.4</v>
      </c>
      <c r="J671" t="s">
        <v>6</v>
      </c>
      <c r="K671" t="s">
        <v>6</v>
      </c>
      <c r="L671">
        <v>26.3</v>
      </c>
      <c r="M671">
        <f t="shared" si="43"/>
        <v>1</v>
      </c>
    </row>
    <row r="672" spans="1:13" x14ac:dyDescent="0.2">
      <c r="A672" s="9">
        <v>43407</v>
      </c>
      <c r="B672">
        <f t="shared" si="40"/>
        <v>3</v>
      </c>
      <c r="C672">
        <f t="shared" si="41"/>
        <v>11</v>
      </c>
      <c r="D672">
        <f t="shared" si="42"/>
        <v>2018</v>
      </c>
      <c r="E672" s="11">
        <v>3.1309999999999998</v>
      </c>
      <c r="F672" s="11">
        <v>101.54900000000001</v>
      </c>
      <c r="G672" s="11">
        <v>27.4</v>
      </c>
      <c r="H672" s="1" t="s">
        <v>0</v>
      </c>
      <c r="I672">
        <v>54.1</v>
      </c>
      <c r="J672" t="s">
        <v>6</v>
      </c>
      <c r="K672">
        <v>24</v>
      </c>
      <c r="L672">
        <v>26.6</v>
      </c>
      <c r="M672">
        <f t="shared" si="43"/>
        <v>1</v>
      </c>
    </row>
    <row r="673" spans="1:13" x14ac:dyDescent="0.2">
      <c r="A673" s="9">
        <v>43408</v>
      </c>
      <c r="B673">
        <f t="shared" si="40"/>
        <v>4</v>
      </c>
      <c r="C673">
        <f t="shared" si="41"/>
        <v>11</v>
      </c>
      <c r="D673">
        <f t="shared" si="42"/>
        <v>2018</v>
      </c>
      <c r="E673" s="11">
        <v>3.1309999999999998</v>
      </c>
      <c r="F673" s="11">
        <v>101.54900000000001</v>
      </c>
      <c r="G673" s="11">
        <v>27.4</v>
      </c>
      <c r="H673" s="1" t="s">
        <v>0</v>
      </c>
      <c r="I673">
        <v>11.9</v>
      </c>
      <c r="J673" t="s">
        <v>6</v>
      </c>
      <c r="K673" t="s">
        <v>6</v>
      </c>
      <c r="L673">
        <v>26.7</v>
      </c>
      <c r="M673">
        <f t="shared" si="43"/>
        <v>1</v>
      </c>
    </row>
    <row r="674" spans="1:13" x14ac:dyDescent="0.2">
      <c r="A674" s="9">
        <v>43409</v>
      </c>
      <c r="B674">
        <f t="shared" si="40"/>
        <v>5</v>
      </c>
      <c r="C674">
        <f t="shared" si="41"/>
        <v>11</v>
      </c>
      <c r="D674">
        <f t="shared" si="42"/>
        <v>2018</v>
      </c>
      <c r="E674" s="11">
        <v>3.1309999999999998</v>
      </c>
      <c r="F674" s="11">
        <v>101.54900000000001</v>
      </c>
      <c r="G674" s="11">
        <v>27.4</v>
      </c>
      <c r="H674" s="1" t="s">
        <v>0</v>
      </c>
      <c r="I674">
        <v>60.2</v>
      </c>
      <c r="J674" t="s">
        <v>6</v>
      </c>
      <c r="K674">
        <v>23.7</v>
      </c>
      <c r="L674">
        <v>25.9</v>
      </c>
      <c r="M674">
        <f t="shared" si="43"/>
        <v>1</v>
      </c>
    </row>
    <row r="675" spans="1:13" x14ac:dyDescent="0.2">
      <c r="A675" s="9">
        <v>43410</v>
      </c>
      <c r="B675">
        <f t="shared" si="40"/>
        <v>6</v>
      </c>
      <c r="C675">
        <f t="shared" si="41"/>
        <v>11</v>
      </c>
      <c r="D675">
        <f t="shared" si="42"/>
        <v>2018</v>
      </c>
      <c r="E675" s="11">
        <v>3.1309999999999998</v>
      </c>
      <c r="F675" s="11">
        <v>101.54900000000001</v>
      </c>
      <c r="G675" s="11">
        <v>27.4</v>
      </c>
      <c r="H675" s="1" t="s">
        <v>0</v>
      </c>
      <c r="I675">
        <v>20.3</v>
      </c>
      <c r="J675" t="s">
        <v>6</v>
      </c>
      <c r="K675">
        <v>24</v>
      </c>
      <c r="L675">
        <v>26.8</v>
      </c>
      <c r="M675">
        <f t="shared" si="43"/>
        <v>1</v>
      </c>
    </row>
    <row r="676" spans="1:13" x14ac:dyDescent="0.2">
      <c r="A676" s="9">
        <v>43411</v>
      </c>
      <c r="B676">
        <f t="shared" si="40"/>
        <v>7</v>
      </c>
      <c r="C676">
        <f t="shared" si="41"/>
        <v>11</v>
      </c>
      <c r="D676">
        <f t="shared" si="42"/>
        <v>2018</v>
      </c>
      <c r="E676" s="11">
        <v>3.1309999999999998</v>
      </c>
      <c r="F676" s="11">
        <v>101.54900000000001</v>
      </c>
      <c r="G676" s="11">
        <v>27.4</v>
      </c>
      <c r="H676" s="1" t="s">
        <v>0</v>
      </c>
      <c r="I676">
        <v>0.3</v>
      </c>
      <c r="J676" t="s">
        <v>6</v>
      </c>
      <c r="K676" t="s">
        <v>6</v>
      </c>
      <c r="L676">
        <v>27.3</v>
      </c>
      <c r="M676">
        <f t="shared" si="43"/>
        <v>1</v>
      </c>
    </row>
    <row r="677" spans="1:13" x14ac:dyDescent="0.2">
      <c r="A677" s="9">
        <v>43412</v>
      </c>
      <c r="B677">
        <f t="shared" si="40"/>
        <v>8</v>
      </c>
      <c r="C677">
        <f t="shared" si="41"/>
        <v>11</v>
      </c>
      <c r="D677">
        <f t="shared" si="42"/>
        <v>2018</v>
      </c>
      <c r="E677" s="11">
        <v>3.1309999999999998</v>
      </c>
      <c r="F677" s="11">
        <v>101.54900000000001</v>
      </c>
      <c r="G677" s="11">
        <v>27.4</v>
      </c>
      <c r="H677" s="1" t="s">
        <v>0</v>
      </c>
      <c r="I677">
        <v>13.5</v>
      </c>
      <c r="J677" t="s">
        <v>6</v>
      </c>
      <c r="K677">
        <v>23.4</v>
      </c>
      <c r="L677">
        <v>28.8</v>
      </c>
      <c r="M677">
        <f t="shared" si="43"/>
        <v>1</v>
      </c>
    </row>
    <row r="678" spans="1:13" x14ac:dyDescent="0.2">
      <c r="A678" s="9">
        <v>43413</v>
      </c>
      <c r="B678">
        <f t="shared" si="40"/>
        <v>9</v>
      </c>
      <c r="C678">
        <f t="shared" si="41"/>
        <v>11</v>
      </c>
      <c r="D678">
        <f t="shared" si="42"/>
        <v>2018</v>
      </c>
      <c r="E678" s="11">
        <v>3.1309999999999998</v>
      </c>
      <c r="F678" s="11">
        <v>101.54900000000001</v>
      </c>
      <c r="G678" s="11">
        <v>27.4</v>
      </c>
      <c r="H678" s="1" t="s">
        <v>0</v>
      </c>
      <c r="I678">
        <v>0</v>
      </c>
      <c r="J678" t="s">
        <v>6</v>
      </c>
      <c r="K678">
        <v>24.4</v>
      </c>
      <c r="L678">
        <v>27.8</v>
      </c>
      <c r="M678">
        <f t="shared" si="43"/>
        <v>0</v>
      </c>
    </row>
    <row r="679" spans="1:13" x14ac:dyDescent="0.2">
      <c r="A679" s="9">
        <v>43414</v>
      </c>
      <c r="B679">
        <f t="shared" si="40"/>
        <v>10</v>
      </c>
      <c r="C679">
        <f t="shared" si="41"/>
        <v>11</v>
      </c>
      <c r="D679">
        <f t="shared" si="42"/>
        <v>2018</v>
      </c>
      <c r="E679" s="11">
        <v>3.1309999999999998</v>
      </c>
      <c r="F679" s="11">
        <v>101.54900000000001</v>
      </c>
      <c r="G679" s="11">
        <v>27.4</v>
      </c>
      <c r="H679" s="1" t="s">
        <v>0</v>
      </c>
      <c r="I679">
        <v>0</v>
      </c>
      <c r="J679" t="s">
        <v>6</v>
      </c>
      <c r="K679" t="s">
        <v>6</v>
      </c>
      <c r="L679">
        <v>28.2</v>
      </c>
      <c r="M679">
        <f t="shared" si="43"/>
        <v>0</v>
      </c>
    </row>
    <row r="680" spans="1:13" x14ac:dyDescent="0.2">
      <c r="A680" s="9">
        <v>43415</v>
      </c>
      <c r="B680">
        <f t="shared" si="40"/>
        <v>11</v>
      </c>
      <c r="C680">
        <f t="shared" si="41"/>
        <v>11</v>
      </c>
      <c r="D680">
        <f t="shared" si="42"/>
        <v>2018</v>
      </c>
      <c r="E680" s="11">
        <v>3.1309999999999998</v>
      </c>
      <c r="F680" s="11">
        <v>101.54900000000001</v>
      </c>
      <c r="G680" s="11">
        <v>27.4</v>
      </c>
      <c r="H680" s="1" t="s">
        <v>0</v>
      </c>
      <c r="I680">
        <v>0.3</v>
      </c>
      <c r="J680" t="s">
        <v>6</v>
      </c>
      <c r="K680" t="s">
        <v>6</v>
      </c>
      <c r="L680">
        <v>27.3</v>
      </c>
      <c r="M680">
        <f t="shared" si="43"/>
        <v>1</v>
      </c>
    </row>
    <row r="681" spans="1:13" x14ac:dyDescent="0.2">
      <c r="A681" s="9">
        <v>43416</v>
      </c>
      <c r="B681">
        <f t="shared" si="40"/>
        <v>12</v>
      </c>
      <c r="C681">
        <f t="shared" si="41"/>
        <v>11</v>
      </c>
      <c r="D681">
        <f t="shared" si="42"/>
        <v>2018</v>
      </c>
      <c r="E681" s="11">
        <v>3.1309999999999998</v>
      </c>
      <c r="F681" s="11">
        <v>101.54900000000001</v>
      </c>
      <c r="G681" s="11">
        <v>27.4</v>
      </c>
      <c r="H681" s="1" t="s">
        <v>0</v>
      </c>
      <c r="I681">
        <v>10.4</v>
      </c>
      <c r="J681" t="s">
        <v>6</v>
      </c>
      <c r="K681">
        <v>24.6</v>
      </c>
      <c r="L681">
        <v>28.1</v>
      </c>
      <c r="M681">
        <f t="shared" si="43"/>
        <v>1</v>
      </c>
    </row>
    <row r="682" spans="1:13" x14ac:dyDescent="0.2">
      <c r="A682" s="9">
        <v>43417</v>
      </c>
      <c r="B682">
        <f t="shared" si="40"/>
        <v>13</v>
      </c>
      <c r="C682">
        <f t="shared" si="41"/>
        <v>11</v>
      </c>
      <c r="D682">
        <f t="shared" si="42"/>
        <v>2018</v>
      </c>
      <c r="E682" s="11">
        <v>3.1309999999999998</v>
      </c>
      <c r="F682" s="11">
        <v>101.54900000000001</v>
      </c>
      <c r="G682" s="11">
        <v>27.4</v>
      </c>
      <c r="H682" s="1" t="s">
        <v>0</v>
      </c>
      <c r="I682">
        <v>0.8</v>
      </c>
      <c r="J682" t="s">
        <v>6</v>
      </c>
      <c r="K682" t="s">
        <v>6</v>
      </c>
      <c r="L682">
        <v>26.4</v>
      </c>
      <c r="M682">
        <f t="shared" si="43"/>
        <v>1</v>
      </c>
    </row>
    <row r="683" spans="1:13" x14ac:dyDescent="0.2">
      <c r="A683" s="9">
        <v>43418</v>
      </c>
      <c r="B683">
        <f t="shared" si="40"/>
        <v>14</v>
      </c>
      <c r="C683">
        <f t="shared" si="41"/>
        <v>11</v>
      </c>
      <c r="D683">
        <f t="shared" si="42"/>
        <v>2018</v>
      </c>
      <c r="E683" s="11">
        <v>3.1309999999999998</v>
      </c>
      <c r="F683" s="11">
        <v>101.54900000000001</v>
      </c>
      <c r="G683" s="11">
        <v>27.4</v>
      </c>
      <c r="H683" s="1" t="s">
        <v>0</v>
      </c>
      <c r="I683">
        <v>34.299999999999997</v>
      </c>
      <c r="J683" t="s">
        <v>6</v>
      </c>
      <c r="K683">
        <v>24.8</v>
      </c>
      <c r="L683">
        <v>27.4</v>
      </c>
      <c r="M683">
        <f t="shared" si="43"/>
        <v>1</v>
      </c>
    </row>
    <row r="684" spans="1:13" x14ac:dyDescent="0.2">
      <c r="A684" s="9">
        <v>43419</v>
      </c>
      <c r="B684">
        <f t="shared" si="40"/>
        <v>15</v>
      </c>
      <c r="C684">
        <f t="shared" si="41"/>
        <v>11</v>
      </c>
      <c r="D684">
        <f t="shared" si="42"/>
        <v>2018</v>
      </c>
      <c r="E684" s="11">
        <v>3.1309999999999998</v>
      </c>
      <c r="F684" s="11">
        <v>101.54900000000001</v>
      </c>
      <c r="G684" s="11">
        <v>27.4</v>
      </c>
      <c r="H684" s="1" t="s">
        <v>0</v>
      </c>
      <c r="I684">
        <v>17.5</v>
      </c>
      <c r="J684" t="s">
        <v>6</v>
      </c>
      <c r="K684">
        <v>24.4</v>
      </c>
      <c r="L684">
        <v>26.7</v>
      </c>
      <c r="M684">
        <f t="shared" si="43"/>
        <v>1</v>
      </c>
    </row>
    <row r="685" spans="1:13" x14ac:dyDescent="0.2">
      <c r="A685" s="9">
        <v>43420</v>
      </c>
      <c r="B685">
        <f t="shared" si="40"/>
        <v>16</v>
      </c>
      <c r="C685">
        <f t="shared" si="41"/>
        <v>11</v>
      </c>
      <c r="D685">
        <f t="shared" si="42"/>
        <v>2018</v>
      </c>
      <c r="E685" s="11">
        <v>3.1309999999999998</v>
      </c>
      <c r="F685" s="11">
        <v>101.54900000000001</v>
      </c>
      <c r="G685" s="11">
        <v>27.4</v>
      </c>
      <c r="H685" s="1" t="s">
        <v>0</v>
      </c>
      <c r="I685">
        <v>5.0999999999999996</v>
      </c>
      <c r="J685" t="s">
        <v>6</v>
      </c>
      <c r="K685">
        <v>24.7</v>
      </c>
      <c r="L685">
        <v>28.8</v>
      </c>
      <c r="M685">
        <f t="shared" si="43"/>
        <v>1</v>
      </c>
    </row>
    <row r="686" spans="1:13" x14ac:dyDescent="0.2">
      <c r="A686" s="9">
        <v>43421</v>
      </c>
      <c r="B686">
        <f t="shared" si="40"/>
        <v>17</v>
      </c>
      <c r="C686">
        <f t="shared" si="41"/>
        <v>11</v>
      </c>
      <c r="D686">
        <f t="shared" si="42"/>
        <v>2018</v>
      </c>
      <c r="E686" s="11">
        <v>3.1309999999999998</v>
      </c>
      <c r="F686" s="11">
        <v>101.54900000000001</v>
      </c>
      <c r="G686" s="11">
        <v>27.4</v>
      </c>
      <c r="H686" s="1" t="s">
        <v>0</v>
      </c>
      <c r="I686">
        <v>0</v>
      </c>
      <c r="J686" t="s">
        <v>6</v>
      </c>
      <c r="K686">
        <v>25.4</v>
      </c>
      <c r="L686">
        <v>29</v>
      </c>
      <c r="M686">
        <f t="shared" si="43"/>
        <v>0</v>
      </c>
    </row>
    <row r="687" spans="1:13" x14ac:dyDescent="0.2">
      <c r="A687" s="9">
        <v>43422</v>
      </c>
      <c r="B687">
        <f t="shared" si="40"/>
        <v>18</v>
      </c>
      <c r="C687">
        <f t="shared" si="41"/>
        <v>11</v>
      </c>
      <c r="D687">
        <f t="shared" si="42"/>
        <v>2018</v>
      </c>
      <c r="E687" s="11">
        <v>3.1309999999999998</v>
      </c>
      <c r="F687" s="11">
        <v>101.54900000000001</v>
      </c>
      <c r="G687" s="11">
        <v>27.4</v>
      </c>
      <c r="H687" s="1" t="s">
        <v>0</v>
      </c>
      <c r="I687">
        <v>0</v>
      </c>
      <c r="J687" t="s">
        <v>6</v>
      </c>
      <c r="K687" t="s">
        <v>6</v>
      </c>
      <c r="L687">
        <v>29</v>
      </c>
      <c r="M687">
        <f t="shared" si="43"/>
        <v>0</v>
      </c>
    </row>
    <row r="688" spans="1:13" x14ac:dyDescent="0.2">
      <c r="A688" s="9">
        <v>43423</v>
      </c>
      <c r="B688">
        <f t="shared" si="40"/>
        <v>19</v>
      </c>
      <c r="C688">
        <f t="shared" si="41"/>
        <v>11</v>
      </c>
      <c r="D688">
        <f t="shared" si="42"/>
        <v>2018</v>
      </c>
      <c r="E688" s="11">
        <v>3.1309999999999998</v>
      </c>
      <c r="F688" s="11">
        <v>101.54900000000001</v>
      </c>
      <c r="G688" s="11">
        <v>27.4</v>
      </c>
      <c r="H688" s="1" t="s">
        <v>0</v>
      </c>
      <c r="I688">
        <v>0</v>
      </c>
      <c r="J688" t="s">
        <v>6</v>
      </c>
      <c r="K688">
        <v>24.8</v>
      </c>
      <c r="L688">
        <v>28.1</v>
      </c>
      <c r="M688">
        <f t="shared" si="43"/>
        <v>0</v>
      </c>
    </row>
    <row r="689" spans="1:13" x14ac:dyDescent="0.2">
      <c r="A689" s="9">
        <v>43424</v>
      </c>
      <c r="B689">
        <f t="shared" si="40"/>
        <v>20</v>
      </c>
      <c r="C689">
        <f t="shared" si="41"/>
        <v>11</v>
      </c>
      <c r="D689">
        <f t="shared" si="42"/>
        <v>2018</v>
      </c>
      <c r="E689" s="11">
        <v>3.1309999999999998</v>
      </c>
      <c r="F689" s="11">
        <v>101.54900000000001</v>
      </c>
      <c r="G689" s="11">
        <v>27.4</v>
      </c>
      <c r="H689" s="1" t="s">
        <v>0</v>
      </c>
      <c r="I689">
        <v>6.6</v>
      </c>
      <c r="J689" t="s">
        <v>6</v>
      </c>
      <c r="K689" t="s">
        <v>6</v>
      </c>
      <c r="L689">
        <v>27.3</v>
      </c>
      <c r="M689">
        <f t="shared" si="43"/>
        <v>1</v>
      </c>
    </row>
    <row r="690" spans="1:13" x14ac:dyDescent="0.2">
      <c r="A690" s="9">
        <v>43425</v>
      </c>
      <c r="B690">
        <f t="shared" si="40"/>
        <v>21</v>
      </c>
      <c r="C690">
        <f t="shared" si="41"/>
        <v>11</v>
      </c>
      <c r="D690">
        <f t="shared" si="42"/>
        <v>2018</v>
      </c>
      <c r="E690" s="11">
        <v>3.1309999999999998</v>
      </c>
      <c r="F690" s="11">
        <v>101.54900000000001</v>
      </c>
      <c r="G690" s="11">
        <v>27.4</v>
      </c>
      <c r="H690" s="1" t="s">
        <v>0</v>
      </c>
      <c r="I690">
        <v>8.9</v>
      </c>
      <c r="J690" t="s">
        <v>6</v>
      </c>
      <c r="K690">
        <v>24.4</v>
      </c>
      <c r="L690">
        <v>27.4</v>
      </c>
      <c r="M690">
        <f t="shared" si="43"/>
        <v>1</v>
      </c>
    </row>
    <row r="691" spans="1:13" x14ac:dyDescent="0.2">
      <c r="A691" s="9">
        <v>43426</v>
      </c>
      <c r="B691">
        <f t="shared" si="40"/>
        <v>22</v>
      </c>
      <c r="C691">
        <f t="shared" si="41"/>
        <v>11</v>
      </c>
      <c r="D691">
        <f t="shared" si="42"/>
        <v>2018</v>
      </c>
      <c r="E691" s="11">
        <v>3.1309999999999998</v>
      </c>
      <c r="F691" s="11">
        <v>101.54900000000001</v>
      </c>
      <c r="G691" s="11">
        <v>27.4</v>
      </c>
      <c r="H691" s="1" t="s">
        <v>0</v>
      </c>
      <c r="I691">
        <v>16.5</v>
      </c>
      <c r="J691" t="s">
        <v>6</v>
      </c>
      <c r="K691">
        <v>24.4</v>
      </c>
      <c r="L691">
        <v>27.5</v>
      </c>
      <c r="M691">
        <f t="shared" si="43"/>
        <v>1</v>
      </c>
    </row>
    <row r="692" spans="1:13" x14ac:dyDescent="0.2">
      <c r="A692" s="9">
        <v>43427</v>
      </c>
      <c r="B692">
        <f t="shared" si="40"/>
        <v>23</v>
      </c>
      <c r="C692">
        <f t="shared" si="41"/>
        <v>11</v>
      </c>
      <c r="D692">
        <f t="shared" si="42"/>
        <v>2018</v>
      </c>
      <c r="E692" s="11">
        <v>3.1309999999999998</v>
      </c>
      <c r="F692" s="11">
        <v>101.54900000000001</v>
      </c>
      <c r="G692" s="11">
        <v>27.4</v>
      </c>
      <c r="H692" s="1" t="s">
        <v>0</v>
      </c>
      <c r="I692">
        <v>0</v>
      </c>
      <c r="J692" t="s">
        <v>6</v>
      </c>
      <c r="K692">
        <v>24.6</v>
      </c>
      <c r="L692">
        <v>28.2</v>
      </c>
      <c r="M692">
        <f t="shared" si="43"/>
        <v>0</v>
      </c>
    </row>
    <row r="693" spans="1:13" x14ac:dyDescent="0.2">
      <c r="A693" s="9">
        <v>43428</v>
      </c>
      <c r="B693">
        <f t="shared" si="40"/>
        <v>24</v>
      </c>
      <c r="C693">
        <f t="shared" si="41"/>
        <v>11</v>
      </c>
      <c r="D693">
        <f t="shared" si="42"/>
        <v>2018</v>
      </c>
      <c r="E693" s="11">
        <v>3.1309999999999998</v>
      </c>
      <c r="F693" s="11">
        <v>101.54900000000001</v>
      </c>
      <c r="G693" s="11">
        <v>27.4</v>
      </c>
      <c r="H693" s="1" t="s">
        <v>0</v>
      </c>
      <c r="I693">
        <v>20.3</v>
      </c>
      <c r="J693" t="s">
        <v>6</v>
      </c>
      <c r="K693">
        <v>25.2</v>
      </c>
      <c r="L693">
        <v>29.2</v>
      </c>
      <c r="M693">
        <f t="shared" si="43"/>
        <v>1</v>
      </c>
    </row>
    <row r="694" spans="1:13" x14ac:dyDescent="0.2">
      <c r="A694" s="9">
        <v>43429</v>
      </c>
      <c r="B694">
        <f t="shared" si="40"/>
        <v>25</v>
      </c>
      <c r="C694">
        <f t="shared" si="41"/>
        <v>11</v>
      </c>
      <c r="D694">
        <f t="shared" si="42"/>
        <v>2018</v>
      </c>
      <c r="E694" s="11">
        <v>3.1309999999999998</v>
      </c>
      <c r="F694" s="11">
        <v>101.54900000000001</v>
      </c>
      <c r="G694" s="11">
        <v>27.4</v>
      </c>
      <c r="H694" s="1" t="s">
        <v>0</v>
      </c>
      <c r="I694">
        <v>0.3</v>
      </c>
      <c r="J694" t="s">
        <v>6</v>
      </c>
      <c r="K694">
        <v>25.6</v>
      </c>
      <c r="L694">
        <v>28.7</v>
      </c>
      <c r="M694">
        <f t="shared" si="43"/>
        <v>1</v>
      </c>
    </row>
    <row r="695" spans="1:13" x14ac:dyDescent="0.2">
      <c r="A695" s="9">
        <v>43430</v>
      </c>
      <c r="B695">
        <f t="shared" si="40"/>
        <v>26</v>
      </c>
      <c r="C695">
        <f t="shared" si="41"/>
        <v>11</v>
      </c>
      <c r="D695">
        <f t="shared" si="42"/>
        <v>2018</v>
      </c>
      <c r="E695" s="11">
        <v>3.1309999999999998</v>
      </c>
      <c r="F695" s="11">
        <v>101.54900000000001</v>
      </c>
      <c r="G695" s="11">
        <v>27.4</v>
      </c>
      <c r="H695" s="1" t="s">
        <v>0</v>
      </c>
      <c r="I695">
        <v>0</v>
      </c>
      <c r="J695" t="s">
        <v>6</v>
      </c>
      <c r="K695" t="s">
        <v>6</v>
      </c>
      <c r="L695">
        <v>28.7</v>
      </c>
      <c r="M695">
        <f t="shared" si="43"/>
        <v>0</v>
      </c>
    </row>
    <row r="696" spans="1:13" x14ac:dyDescent="0.2">
      <c r="A696" s="9">
        <v>43431</v>
      </c>
      <c r="B696">
        <f t="shared" si="40"/>
        <v>27</v>
      </c>
      <c r="C696">
        <f t="shared" si="41"/>
        <v>11</v>
      </c>
      <c r="D696">
        <f t="shared" si="42"/>
        <v>2018</v>
      </c>
      <c r="E696" s="11">
        <v>3.1309999999999998</v>
      </c>
      <c r="F696" s="11">
        <v>101.54900000000001</v>
      </c>
      <c r="G696" s="11">
        <v>27.4</v>
      </c>
      <c r="H696" s="1" t="s">
        <v>0</v>
      </c>
      <c r="I696">
        <v>49</v>
      </c>
      <c r="J696" t="s">
        <v>6</v>
      </c>
      <c r="K696">
        <v>22.8</v>
      </c>
      <c r="L696">
        <v>27.7</v>
      </c>
      <c r="M696">
        <f t="shared" si="43"/>
        <v>1</v>
      </c>
    </row>
    <row r="697" spans="1:13" x14ac:dyDescent="0.2">
      <c r="A697" s="9">
        <v>43432</v>
      </c>
      <c r="B697">
        <f t="shared" si="40"/>
        <v>28</v>
      </c>
      <c r="C697">
        <f t="shared" si="41"/>
        <v>11</v>
      </c>
      <c r="D697">
        <f t="shared" si="42"/>
        <v>2018</v>
      </c>
      <c r="E697" s="11">
        <v>3.1309999999999998</v>
      </c>
      <c r="F697" s="11">
        <v>101.54900000000001</v>
      </c>
      <c r="G697" s="11">
        <v>27.4</v>
      </c>
      <c r="H697" s="1" t="s">
        <v>0</v>
      </c>
      <c r="I697">
        <v>0.3</v>
      </c>
      <c r="J697" t="s">
        <v>6</v>
      </c>
      <c r="K697">
        <v>23.4</v>
      </c>
      <c r="L697">
        <v>27.4</v>
      </c>
      <c r="M697">
        <f t="shared" si="43"/>
        <v>1</v>
      </c>
    </row>
    <row r="698" spans="1:13" x14ac:dyDescent="0.2">
      <c r="A698" s="9">
        <v>43433</v>
      </c>
      <c r="B698">
        <f t="shared" si="40"/>
        <v>29</v>
      </c>
      <c r="C698">
        <f t="shared" si="41"/>
        <v>11</v>
      </c>
      <c r="D698">
        <f t="shared" si="42"/>
        <v>2018</v>
      </c>
      <c r="E698" s="11">
        <v>3.1309999999999998</v>
      </c>
      <c r="F698" s="11">
        <v>101.54900000000001</v>
      </c>
      <c r="G698" s="11">
        <v>27.4</v>
      </c>
      <c r="H698" s="1" t="s">
        <v>0</v>
      </c>
      <c r="I698">
        <v>29.7</v>
      </c>
      <c r="J698" t="s">
        <v>6</v>
      </c>
      <c r="K698" t="s">
        <v>6</v>
      </c>
      <c r="L698">
        <v>26.9</v>
      </c>
      <c r="M698">
        <f t="shared" si="43"/>
        <v>1</v>
      </c>
    </row>
    <row r="699" spans="1:13" x14ac:dyDescent="0.2">
      <c r="A699" s="9">
        <v>43434</v>
      </c>
      <c r="B699">
        <f t="shared" si="40"/>
        <v>30</v>
      </c>
      <c r="C699">
        <f t="shared" si="41"/>
        <v>11</v>
      </c>
      <c r="D699">
        <f t="shared" si="42"/>
        <v>2018</v>
      </c>
      <c r="E699" s="11">
        <v>3.1309999999999998</v>
      </c>
      <c r="F699" s="11">
        <v>101.54900000000001</v>
      </c>
      <c r="G699" s="11">
        <v>27.4</v>
      </c>
      <c r="H699" s="1" t="s">
        <v>0</v>
      </c>
      <c r="I699">
        <v>52.1</v>
      </c>
      <c r="J699" t="s">
        <v>6</v>
      </c>
      <c r="K699">
        <v>23.9</v>
      </c>
      <c r="L699">
        <v>27.2</v>
      </c>
      <c r="M699">
        <f t="shared" si="43"/>
        <v>1</v>
      </c>
    </row>
    <row r="700" spans="1:13" x14ac:dyDescent="0.2">
      <c r="A700" s="9">
        <v>43435</v>
      </c>
      <c r="B700">
        <f t="shared" si="40"/>
        <v>1</v>
      </c>
      <c r="C700">
        <f t="shared" si="41"/>
        <v>12</v>
      </c>
      <c r="D700">
        <f t="shared" si="42"/>
        <v>2018</v>
      </c>
      <c r="E700" s="11">
        <v>3.1309999999999998</v>
      </c>
      <c r="F700" s="11">
        <v>101.54900000000001</v>
      </c>
      <c r="G700" s="11">
        <v>27.4</v>
      </c>
      <c r="H700" s="1" t="s">
        <v>0</v>
      </c>
      <c r="I700">
        <v>2.2999999999999998</v>
      </c>
      <c r="J700" t="s">
        <v>6</v>
      </c>
      <c r="K700">
        <v>24.8</v>
      </c>
      <c r="L700">
        <v>26.8</v>
      </c>
      <c r="M700">
        <f t="shared" si="43"/>
        <v>1</v>
      </c>
    </row>
    <row r="701" spans="1:13" x14ac:dyDescent="0.2">
      <c r="A701" s="9">
        <v>43436</v>
      </c>
      <c r="B701">
        <f t="shared" si="40"/>
        <v>2</v>
      </c>
      <c r="C701">
        <f t="shared" si="41"/>
        <v>12</v>
      </c>
      <c r="D701">
        <f t="shared" si="42"/>
        <v>2018</v>
      </c>
      <c r="E701" s="11">
        <v>3.1309999999999998</v>
      </c>
      <c r="F701" s="11">
        <v>101.54900000000001</v>
      </c>
      <c r="G701" s="11">
        <v>27.4</v>
      </c>
      <c r="H701" s="1" t="s">
        <v>0</v>
      </c>
      <c r="I701">
        <v>7.4</v>
      </c>
      <c r="J701" t="s">
        <v>6</v>
      </c>
      <c r="K701" t="s">
        <v>6</v>
      </c>
      <c r="L701">
        <v>26.7</v>
      </c>
      <c r="M701">
        <f t="shared" si="43"/>
        <v>1</v>
      </c>
    </row>
    <row r="702" spans="1:13" x14ac:dyDescent="0.2">
      <c r="A702" s="9">
        <v>43437</v>
      </c>
      <c r="B702">
        <f t="shared" si="40"/>
        <v>3</v>
      </c>
      <c r="C702">
        <f t="shared" si="41"/>
        <v>12</v>
      </c>
      <c r="D702">
        <f t="shared" si="42"/>
        <v>2018</v>
      </c>
      <c r="E702" s="11">
        <v>3.1309999999999998</v>
      </c>
      <c r="F702" s="11">
        <v>101.54900000000001</v>
      </c>
      <c r="G702" s="11">
        <v>27.4</v>
      </c>
      <c r="H702" s="1" t="s">
        <v>0</v>
      </c>
      <c r="I702">
        <v>0.5</v>
      </c>
      <c r="J702" t="s">
        <v>6</v>
      </c>
      <c r="K702" t="s">
        <v>6</v>
      </c>
      <c r="L702">
        <v>26.9</v>
      </c>
      <c r="M702">
        <f t="shared" si="43"/>
        <v>1</v>
      </c>
    </row>
    <row r="703" spans="1:13" x14ac:dyDescent="0.2">
      <c r="A703" s="9">
        <v>43438</v>
      </c>
      <c r="B703">
        <f t="shared" si="40"/>
        <v>4</v>
      </c>
      <c r="C703">
        <f t="shared" si="41"/>
        <v>12</v>
      </c>
      <c r="D703">
        <f t="shared" si="42"/>
        <v>2018</v>
      </c>
      <c r="E703" s="11">
        <v>3.1309999999999998</v>
      </c>
      <c r="F703" s="11">
        <v>101.54900000000001</v>
      </c>
      <c r="G703" s="11">
        <v>27.4</v>
      </c>
      <c r="H703" s="1" t="s">
        <v>0</v>
      </c>
      <c r="I703">
        <v>4.3</v>
      </c>
      <c r="J703" t="s">
        <v>6</v>
      </c>
      <c r="K703">
        <v>24.3</v>
      </c>
      <c r="L703">
        <v>27.2</v>
      </c>
      <c r="M703">
        <f t="shared" si="43"/>
        <v>1</v>
      </c>
    </row>
    <row r="704" spans="1:13" x14ac:dyDescent="0.2">
      <c r="A704" s="9">
        <v>43439</v>
      </c>
      <c r="B704">
        <f t="shared" si="40"/>
        <v>5</v>
      </c>
      <c r="C704">
        <f t="shared" si="41"/>
        <v>12</v>
      </c>
      <c r="D704">
        <f t="shared" si="42"/>
        <v>2018</v>
      </c>
      <c r="E704" s="11">
        <v>3.1309999999999998</v>
      </c>
      <c r="F704" s="11">
        <v>101.54900000000001</v>
      </c>
      <c r="G704" s="11">
        <v>27.4</v>
      </c>
      <c r="H704" s="1" t="s">
        <v>0</v>
      </c>
      <c r="I704">
        <v>3.6</v>
      </c>
      <c r="J704" t="s">
        <v>6</v>
      </c>
      <c r="K704" t="s">
        <v>6</v>
      </c>
      <c r="L704">
        <v>27</v>
      </c>
      <c r="M704">
        <f t="shared" si="43"/>
        <v>1</v>
      </c>
    </row>
    <row r="705" spans="1:13" x14ac:dyDescent="0.2">
      <c r="A705" s="9">
        <v>43440</v>
      </c>
      <c r="B705">
        <f t="shared" si="40"/>
        <v>6</v>
      </c>
      <c r="C705">
        <f t="shared" si="41"/>
        <v>12</v>
      </c>
      <c r="D705">
        <f t="shared" si="42"/>
        <v>2018</v>
      </c>
      <c r="E705" s="11">
        <v>3.1309999999999998</v>
      </c>
      <c r="F705" s="11">
        <v>101.54900000000001</v>
      </c>
      <c r="G705" s="11">
        <v>27.4</v>
      </c>
      <c r="H705" s="1" t="s">
        <v>0</v>
      </c>
      <c r="I705">
        <v>22.1</v>
      </c>
      <c r="J705" t="s">
        <v>6</v>
      </c>
      <c r="K705" t="s">
        <v>6</v>
      </c>
      <c r="L705">
        <v>27.1</v>
      </c>
      <c r="M705">
        <f t="shared" si="43"/>
        <v>1</v>
      </c>
    </row>
    <row r="706" spans="1:13" x14ac:dyDescent="0.2">
      <c r="A706" s="9">
        <v>43441</v>
      </c>
      <c r="B706">
        <f t="shared" si="40"/>
        <v>7</v>
      </c>
      <c r="C706">
        <f t="shared" si="41"/>
        <v>12</v>
      </c>
      <c r="D706">
        <f t="shared" si="42"/>
        <v>2018</v>
      </c>
      <c r="E706" s="11">
        <v>3.1309999999999998</v>
      </c>
      <c r="F706" s="11">
        <v>101.54900000000001</v>
      </c>
      <c r="G706" s="11">
        <v>27.4</v>
      </c>
      <c r="H706" s="1" t="s">
        <v>0</v>
      </c>
      <c r="I706">
        <v>10.199999999999999</v>
      </c>
      <c r="J706" t="s">
        <v>6</v>
      </c>
      <c r="K706" t="s">
        <v>6</v>
      </c>
      <c r="L706">
        <v>26.3</v>
      </c>
      <c r="M706">
        <f t="shared" si="43"/>
        <v>1</v>
      </c>
    </row>
    <row r="707" spans="1:13" x14ac:dyDescent="0.2">
      <c r="A707" s="9">
        <v>43442</v>
      </c>
      <c r="B707">
        <f t="shared" ref="B707:B770" si="44">DAY(A707)</f>
        <v>8</v>
      </c>
      <c r="C707">
        <f t="shared" ref="C707:C770" si="45">MONTH(A707)</f>
        <v>12</v>
      </c>
      <c r="D707">
        <f t="shared" ref="D707:D770" si="46">YEAR(A707)</f>
        <v>2018</v>
      </c>
      <c r="E707" s="11">
        <v>3.1309999999999998</v>
      </c>
      <c r="F707" s="11">
        <v>101.54900000000001</v>
      </c>
      <c r="G707" s="11">
        <v>27.4</v>
      </c>
      <c r="H707" s="1" t="s">
        <v>0</v>
      </c>
      <c r="I707">
        <v>22.4</v>
      </c>
      <c r="J707" t="s">
        <v>6</v>
      </c>
      <c r="K707">
        <v>23.8</v>
      </c>
      <c r="L707">
        <v>28.2</v>
      </c>
      <c r="M707">
        <f t="shared" ref="M707:M770" si="47">IF(ISNUMBER(I707), IF(I707&gt;0, 1, 0), "")</f>
        <v>1</v>
      </c>
    </row>
    <row r="708" spans="1:13" x14ac:dyDescent="0.2">
      <c r="A708" s="9">
        <v>43443</v>
      </c>
      <c r="B708">
        <f t="shared" si="44"/>
        <v>9</v>
      </c>
      <c r="C708">
        <f t="shared" si="45"/>
        <v>12</v>
      </c>
      <c r="D708">
        <f t="shared" si="46"/>
        <v>2018</v>
      </c>
      <c r="E708" s="11">
        <v>3.1309999999999998</v>
      </c>
      <c r="F708" s="11">
        <v>101.54900000000001</v>
      </c>
      <c r="G708" s="11">
        <v>27.4</v>
      </c>
      <c r="H708" s="1" t="s">
        <v>0</v>
      </c>
      <c r="I708">
        <v>6.1</v>
      </c>
      <c r="J708" t="s">
        <v>6</v>
      </c>
      <c r="K708">
        <v>24.3</v>
      </c>
      <c r="L708">
        <v>27</v>
      </c>
      <c r="M708">
        <f t="shared" si="47"/>
        <v>1</v>
      </c>
    </row>
    <row r="709" spans="1:13" x14ac:dyDescent="0.2">
      <c r="A709" s="9">
        <v>43444</v>
      </c>
      <c r="B709">
        <f t="shared" si="44"/>
        <v>10</v>
      </c>
      <c r="C709">
        <f t="shared" si="45"/>
        <v>12</v>
      </c>
      <c r="D709">
        <f t="shared" si="46"/>
        <v>2018</v>
      </c>
      <c r="E709" s="11">
        <v>3.1309999999999998</v>
      </c>
      <c r="F709" s="11">
        <v>101.54900000000001</v>
      </c>
      <c r="G709" s="11">
        <v>27.4</v>
      </c>
      <c r="H709" s="1" t="s">
        <v>0</v>
      </c>
      <c r="I709">
        <v>24.9</v>
      </c>
      <c r="J709" t="s">
        <v>6</v>
      </c>
      <c r="K709">
        <v>24.6</v>
      </c>
      <c r="L709">
        <v>26.9</v>
      </c>
      <c r="M709">
        <f t="shared" si="47"/>
        <v>1</v>
      </c>
    </row>
    <row r="710" spans="1:13" x14ac:dyDescent="0.2">
      <c r="A710" s="9">
        <v>43445</v>
      </c>
      <c r="B710">
        <f t="shared" si="44"/>
        <v>11</v>
      </c>
      <c r="C710">
        <f t="shared" si="45"/>
        <v>12</v>
      </c>
      <c r="D710">
        <f t="shared" si="46"/>
        <v>2018</v>
      </c>
      <c r="E710" s="11">
        <v>3.1309999999999998</v>
      </c>
      <c r="F710" s="11">
        <v>101.54900000000001</v>
      </c>
      <c r="G710" s="11">
        <v>27.4</v>
      </c>
      <c r="H710" s="1" t="s">
        <v>0</v>
      </c>
      <c r="I710">
        <v>5.0999999999999996</v>
      </c>
      <c r="J710" t="s">
        <v>6</v>
      </c>
      <c r="K710">
        <v>24.9</v>
      </c>
      <c r="L710">
        <v>26.9</v>
      </c>
      <c r="M710">
        <f t="shared" si="47"/>
        <v>1</v>
      </c>
    </row>
    <row r="711" spans="1:13" x14ac:dyDescent="0.2">
      <c r="A711" s="9">
        <v>43446</v>
      </c>
      <c r="B711">
        <f t="shared" si="44"/>
        <v>12</v>
      </c>
      <c r="C711">
        <f t="shared" si="45"/>
        <v>12</v>
      </c>
      <c r="D711">
        <f t="shared" si="46"/>
        <v>2018</v>
      </c>
      <c r="E711" s="11">
        <v>3.1309999999999998</v>
      </c>
      <c r="F711" s="11">
        <v>101.54900000000001</v>
      </c>
      <c r="G711" s="11">
        <v>27.4</v>
      </c>
      <c r="H711" s="1" t="s">
        <v>0</v>
      </c>
      <c r="I711">
        <v>0.5</v>
      </c>
      <c r="J711" t="s">
        <v>6</v>
      </c>
      <c r="K711">
        <v>24.9</v>
      </c>
      <c r="L711">
        <v>26.9</v>
      </c>
      <c r="M711">
        <f t="shared" si="47"/>
        <v>1</v>
      </c>
    </row>
    <row r="712" spans="1:13" x14ac:dyDescent="0.2">
      <c r="A712" s="9">
        <v>43447</v>
      </c>
      <c r="B712">
        <f t="shared" si="44"/>
        <v>13</v>
      </c>
      <c r="C712">
        <f t="shared" si="45"/>
        <v>12</v>
      </c>
      <c r="D712">
        <f t="shared" si="46"/>
        <v>2018</v>
      </c>
      <c r="E712" s="11">
        <v>3.1309999999999998</v>
      </c>
      <c r="F712" s="11">
        <v>101.54900000000001</v>
      </c>
      <c r="G712" s="11">
        <v>27.4</v>
      </c>
      <c r="H712" s="1" t="s">
        <v>0</v>
      </c>
      <c r="I712">
        <v>9.9</v>
      </c>
      <c r="J712" t="s">
        <v>6</v>
      </c>
      <c r="K712" t="s">
        <v>6</v>
      </c>
      <c r="L712">
        <v>27.9</v>
      </c>
      <c r="M712">
        <f t="shared" si="47"/>
        <v>1</v>
      </c>
    </row>
    <row r="713" spans="1:13" x14ac:dyDescent="0.2">
      <c r="A713" s="9">
        <v>43448</v>
      </c>
      <c r="B713">
        <f t="shared" si="44"/>
        <v>14</v>
      </c>
      <c r="C713">
        <f t="shared" si="45"/>
        <v>12</v>
      </c>
      <c r="D713">
        <f t="shared" si="46"/>
        <v>2018</v>
      </c>
      <c r="E713" s="11">
        <v>3.1309999999999998</v>
      </c>
      <c r="F713" s="11">
        <v>101.54900000000001</v>
      </c>
      <c r="G713" s="11">
        <v>27.4</v>
      </c>
      <c r="H713" s="1" t="s">
        <v>0</v>
      </c>
      <c r="I713">
        <v>2.5</v>
      </c>
      <c r="J713" t="s">
        <v>6</v>
      </c>
      <c r="K713" t="s">
        <v>6</v>
      </c>
      <c r="L713">
        <v>25.6</v>
      </c>
      <c r="M713">
        <f t="shared" si="47"/>
        <v>1</v>
      </c>
    </row>
    <row r="714" spans="1:13" x14ac:dyDescent="0.2">
      <c r="A714" s="9">
        <v>43449</v>
      </c>
      <c r="B714">
        <f t="shared" si="44"/>
        <v>15</v>
      </c>
      <c r="C714">
        <f t="shared" si="45"/>
        <v>12</v>
      </c>
      <c r="D714">
        <f t="shared" si="46"/>
        <v>2018</v>
      </c>
      <c r="E714" s="11">
        <v>3.1309999999999998</v>
      </c>
      <c r="F714" s="11">
        <v>101.54900000000001</v>
      </c>
      <c r="G714" s="11">
        <v>27.4</v>
      </c>
      <c r="H714" s="1" t="s">
        <v>0</v>
      </c>
      <c r="I714">
        <v>39.1</v>
      </c>
      <c r="J714" t="s">
        <v>6</v>
      </c>
      <c r="K714">
        <v>23.4</v>
      </c>
      <c r="L714">
        <v>27.4</v>
      </c>
      <c r="M714">
        <f t="shared" si="47"/>
        <v>1</v>
      </c>
    </row>
    <row r="715" spans="1:13" x14ac:dyDescent="0.2">
      <c r="A715" s="9">
        <v>43450</v>
      </c>
      <c r="B715">
        <f t="shared" si="44"/>
        <v>16</v>
      </c>
      <c r="C715">
        <f t="shared" si="45"/>
        <v>12</v>
      </c>
      <c r="D715">
        <f t="shared" si="46"/>
        <v>2018</v>
      </c>
      <c r="E715" s="11">
        <v>3.1309999999999998</v>
      </c>
      <c r="F715" s="11">
        <v>101.54900000000001</v>
      </c>
      <c r="G715" s="11">
        <v>27.4</v>
      </c>
      <c r="H715" s="1" t="s">
        <v>0</v>
      </c>
      <c r="I715">
        <v>0</v>
      </c>
      <c r="J715" t="s">
        <v>6</v>
      </c>
      <c r="K715">
        <v>23.7</v>
      </c>
      <c r="L715">
        <v>27.7</v>
      </c>
      <c r="M715">
        <f t="shared" si="47"/>
        <v>0</v>
      </c>
    </row>
    <row r="716" spans="1:13" x14ac:dyDescent="0.2">
      <c r="A716" s="9">
        <v>43451</v>
      </c>
      <c r="B716">
        <f t="shared" si="44"/>
        <v>17</v>
      </c>
      <c r="C716">
        <f t="shared" si="45"/>
        <v>12</v>
      </c>
      <c r="D716">
        <f t="shared" si="46"/>
        <v>2018</v>
      </c>
      <c r="E716" s="11">
        <v>3.1309999999999998</v>
      </c>
      <c r="F716" s="11">
        <v>101.54900000000001</v>
      </c>
      <c r="G716" s="11">
        <v>27.4</v>
      </c>
      <c r="H716" s="1" t="s">
        <v>0</v>
      </c>
      <c r="I716">
        <v>7.4</v>
      </c>
      <c r="J716" t="s">
        <v>6</v>
      </c>
      <c r="K716">
        <v>24.6</v>
      </c>
      <c r="L716">
        <v>27.3</v>
      </c>
      <c r="M716">
        <f t="shared" si="47"/>
        <v>1</v>
      </c>
    </row>
    <row r="717" spans="1:13" x14ac:dyDescent="0.2">
      <c r="A717" s="9">
        <v>43452</v>
      </c>
      <c r="B717">
        <f t="shared" si="44"/>
        <v>18</v>
      </c>
      <c r="C717">
        <f t="shared" si="45"/>
        <v>12</v>
      </c>
      <c r="D717">
        <f t="shared" si="46"/>
        <v>2018</v>
      </c>
      <c r="E717" s="11">
        <v>3.1309999999999998</v>
      </c>
      <c r="F717" s="11">
        <v>101.54900000000001</v>
      </c>
      <c r="G717" s="11">
        <v>27.4</v>
      </c>
      <c r="H717" s="1" t="s">
        <v>0</v>
      </c>
      <c r="I717">
        <v>2.8</v>
      </c>
      <c r="J717" t="s">
        <v>6</v>
      </c>
      <c r="K717">
        <v>24.7</v>
      </c>
      <c r="L717">
        <v>28.8</v>
      </c>
      <c r="M717">
        <f t="shared" si="47"/>
        <v>1</v>
      </c>
    </row>
    <row r="718" spans="1:13" x14ac:dyDescent="0.2">
      <c r="A718" s="9">
        <v>43453</v>
      </c>
      <c r="B718">
        <f t="shared" si="44"/>
        <v>19</v>
      </c>
      <c r="C718">
        <f t="shared" si="45"/>
        <v>12</v>
      </c>
      <c r="D718">
        <f t="shared" si="46"/>
        <v>2018</v>
      </c>
      <c r="E718" s="11">
        <v>3.1309999999999998</v>
      </c>
      <c r="F718" s="11">
        <v>101.54900000000001</v>
      </c>
      <c r="G718" s="11">
        <v>27.4</v>
      </c>
      <c r="H718" s="1" t="s">
        <v>0</v>
      </c>
      <c r="I718">
        <v>0</v>
      </c>
      <c r="J718" t="s">
        <v>6</v>
      </c>
      <c r="K718" t="s">
        <v>6</v>
      </c>
      <c r="L718">
        <v>28.3</v>
      </c>
      <c r="M718">
        <f t="shared" si="47"/>
        <v>0</v>
      </c>
    </row>
    <row r="719" spans="1:13" x14ac:dyDescent="0.2">
      <c r="A719" s="9">
        <v>43454</v>
      </c>
      <c r="B719">
        <f t="shared" si="44"/>
        <v>20</v>
      </c>
      <c r="C719">
        <f t="shared" si="45"/>
        <v>12</v>
      </c>
      <c r="D719">
        <f t="shared" si="46"/>
        <v>2018</v>
      </c>
      <c r="E719" s="11">
        <v>3.1309999999999998</v>
      </c>
      <c r="F719" s="11">
        <v>101.54900000000001</v>
      </c>
      <c r="G719" s="11">
        <v>27.4</v>
      </c>
      <c r="H719" s="1" t="s">
        <v>0</v>
      </c>
      <c r="I719">
        <v>0</v>
      </c>
      <c r="J719" t="s">
        <v>6</v>
      </c>
      <c r="K719" t="s">
        <v>6</v>
      </c>
      <c r="L719">
        <v>29.5</v>
      </c>
      <c r="M719">
        <f t="shared" si="47"/>
        <v>0</v>
      </c>
    </row>
    <row r="720" spans="1:13" x14ac:dyDescent="0.2">
      <c r="A720" s="9">
        <v>43455</v>
      </c>
      <c r="B720">
        <f t="shared" si="44"/>
        <v>21</v>
      </c>
      <c r="C720">
        <f t="shared" si="45"/>
        <v>12</v>
      </c>
      <c r="D720">
        <f t="shared" si="46"/>
        <v>2018</v>
      </c>
      <c r="E720" s="11">
        <v>3.1309999999999998</v>
      </c>
      <c r="F720" s="11">
        <v>101.54900000000001</v>
      </c>
      <c r="G720" s="11">
        <v>27.4</v>
      </c>
      <c r="H720" s="1" t="s">
        <v>0</v>
      </c>
      <c r="I720">
        <v>0</v>
      </c>
      <c r="J720" t="s">
        <v>6</v>
      </c>
      <c r="K720" t="s">
        <v>6</v>
      </c>
      <c r="L720">
        <v>27.8</v>
      </c>
      <c r="M720">
        <f t="shared" si="47"/>
        <v>0</v>
      </c>
    </row>
    <row r="721" spans="1:13" x14ac:dyDescent="0.2">
      <c r="A721" s="9">
        <v>43456</v>
      </c>
      <c r="B721">
        <f t="shared" si="44"/>
        <v>22</v>
      </c>
      <c r="C721">
        <f t="shared" si="45"/>
        <v>12</v>
      </c>
      <c r="D721">
        <f t="shared" si="46"/>
        <v>2018</v>
      </c>
      <c r="E721" s="11">
        <v>3.1309999999999998</v>
      </c>
      <c r="F721" s="11">
        <v>101.54900000000001</v>
      </c>
      <c r="G721" s="11">
        <v>27.4</v>
      </c>
      <c r="H721" s="1" t="s">
        <v>0</v>
      </c>
      <c r="I721">
        <v>0.8</v>
      </c>
      <c r="J721" t="s">
        <v>6</v>
      </c>
      <c r="K721">
        <v>24.3</v>
      </c>
      <c r="L721">
        <v>28.2</v>
      </c>
      <c r="M721">
        <f t="shared" si="47"/>
        <v>1</v>
      </c>
    </row>
    <row r="722" spans="1:13" x14ac:dyDescent="0.2">
      <c r="A722" s="9">
        <v>43457</v>
      </c>
      <c r="B722">
        <f t="shared" si="44"/>
        <v>23</v>
      </c>
      <c r="C722">
        <f t="shared" si="45"/>
        <v>12</v>
      </c>
      <c r="D722">
        <f t="shared" si="46"/>
        <v>2018</v>
      </c>
      <c r="E722" s="11">
        <v>3.1309999999999998</v>
      </c>
      <c r="F722" s="11">
        <v>101.54900000000001</v>
      </c>
      <c r="G722" s="11">
        <v>27.4</v>
      </c>
      <c r="H722" s="1" t="s">
        <v>0</v>
      </c>
      <c r="I722">
        <v>0</v>
      </c>
      <c r="J722" t="s">
        <v>6</v>
      </c>
      <c r="K722" t="s">
        <v>6</v>
      </c>
      <c r="L722">
        <v>27.4</v>
      </c>
      <c r="M722">
        <f t="shared" si="47"/>
        <v>0</v>
      </c>
    </row>
    <row r="723" spans="1:13" x14ac:dyDescent="0.2">
      <c r="A723" s="9">
        <v>43458</v>
      </c>
      <c r="B723">
        <f t="shared" si="44"/>
        <v>24</v>
      </c>
      <c r="C723">
        <f t="shared" si="45"/>
        <v>12</v>
      </c>
      <c r="D723">
        <f t="shared" si="46"/>
        <v>2018</v>
      </c>
      <c r="E723" s="11">
        <v>3.1309999999999998</v>
      </c>
      <c r="F723" s="11">
        <v>101.54900000000001</v>
      </c>
      <c r="G723" s="11">
        <v>27.4</v>
      </c>
      <c r="H723" s="1" t="s">
        <v>0</v>
      </c>
      <c r="I723">
        <v>20.6</v>
      </c>
      <c r="J723" t="s">
        <v>6</v>
      </c>
      <c r="K723" t="s">
        <v>6</v>
      </c>
      <c r="L723">
        <v>28.6</v>
      </c>
      <c r="M723">
        <f t="shared" si="47"/>
        <v>1</v>
      </c>
    </row>
    <row r="724" spans="1:13" x14ac:dyDescent="0.2">
      <c r="A724" s="9">
        <v>43459</v>
      </c>
      <c r="B724">
        <f t="shared" si="44"/>
        <v>25</v>
      </c>
      <c r="C724">
        <f t="shared" si="45"/>
        <v>12</v>
      </c>
      <c r="D724">
        <f t="shared" si="46"/>
        <v>2018</v>
      </c>
      <c r="E724" s="11">
        <v>3.1309999999999998</v>
      </c>
      <c r="F724" s="11">
        <v>101.54900000000001</v>
      </c>
      <c r="G724" s="11">
        <v>27.4</v>
      </c>
      <c r="H724" s="1" t="s">
        <v>0</v>
      </c>
      <c r="I724">
        <v>0</v>
      </c>
      <c r="J724" t="s">
        <v>6</v>
      </c>
      <c r="K724">
        <v>24.4</v>
      </c>
      <c r="L724">
        <v>27.9</v>
      </c>
      <c r="M724">
        <f t="shared" si="47"/>
        <v>0</v>
      </c>
    </row>
    <row r="725" spans="1:13" x14ac:dyDescent="0.2">
      <c r="A725" s="9">
        <v>43460</v>
      </c>
      <c r="B725">
        <f t="shared" si="44"/>
        <v>26</v>
      </c>
      <c r="C725">
        <f t="shared" si="45"/>
        <v>12</v>
      </c>
      <c r="D725">
        <f t="shared" si="46"/>
        <v>2018</v>
      </c>
      <c r="E725" s="11">
        <v>3.1309999999999998</v>
      </c>
      <c r="F725" s="11">
        <v>101.54900000000001</v>
      </c>
      <c r="G725" s="11">
        <v>27.4</v>
      </c>
      <c r="H725" s="1" t="s">
        <v>0</v>
      </c>
      <c r="I725">
        <v>9.6999999999999993</v>
      </c>
      <c r="J725" t="s">
        <v>6</v>
      </c>
      <c r="K725" t="s">
        <v>6</v>
      </c>
      <c r="L725">
        <v>27.2</v>
      </c>
      <c r="M725">
        <f t="shared" si="47"/>
        <v>1</v>
      </c>
    </row>
    <row r="726" spans="1:13" x14ac:dyDescent="0.2">
      <c r="A726" s="9">
        <v>43461</v>
      </c>
      <c r="B726">
        <f t="shared" si="44"/>
        <v>27</v>
      </c>
      <c r="C726">
        <f t="shared" si="45"/>
        <v>12</v>
      </c>
      <c r="D726">
        <f t="shared" si="46"/>
        <v>2018</v>
      </c>
      <c r="E726" s="11">
        <v>3.1309999999999998</v>
      </c>
      <c r="F726" s="11">
        <v>101.54900000000001</v>
      </c>
      <c r="G726" s="11">
        <v>27.4</v>
      </c>
      <c r="H726" s="1" t="s">
        <v>0</v>
      </c>
      <c r="I726">
        <v>16.3</v>
      </c>
      <c r="J726" t="s">
        <v>6</v>
      </c>
      <c r="K726">
        <v>23.6</v>
      </c>
      <c r="L726">
        <v>26.8</v>
      </c>
      <c r="M726">
        <f t="shared" si="47"/>
        <v>1</v>
      </c>
    </row>
    <row r="727" spans="1:13" x14ac:dyDescent="0.2">
      <c r="A727" s="9">
        <v>43462</v>
      </c>
      <c r="B727">
        <f t="shared" si="44"/>
        <v>28</v>
      </c>
      <c r="C727">
        <f t="shared" si="45"/>
        <v>12</v>
      </c>
      <c r="D727">
        <f t="shared" si="46"/>
        <v>2018</v>
      </c>
      <c r="E727" s="11">
        <v>3.1309999999999998</v>
      </c>
      <c r="F727" s="11">
        <v>101.54900000000001</v>
      </c>
      <c r="G727" s="11">
        <v>27.4</v>
      </c>
      <c r="H727" s="1" t="s">
        <v>0</v>
      </c>
      <c r="I727">
        <v>0.5</v>
      </c>
      <c r="J727" t="s">
        <v>6</v>
      </c>
      <c r="K727">
        <v>23.7</v>
      </c>
      <c r="L727">
        <v>28.6</v>
      </c>
      <c r="M727">
        <f t="shared" si="47"/>
        <v>1</v>
      </c>
    </row>
    <row r="728" spans="1:13" x14ac:dyDescent="0.2">
      <c r="A728" s="9">
        <v>43463</v>
      </c>
      <c r="B728">
        <f t="shared" si="44"/>
        <v>29</v>
      </c>
      <c r="C728">
        <f t="shared" si="45"/>
        <v>12</v>
      </c>
      <c r="D728">
        <f t="shared" si="46"/>
        <v>2018</v>
      </c>
      <c r="E728" s="11">
        <v>3.1309999999999998</v>
      </c>
      <c r="F728" s="11">
        <v>101.54900000000001</v>
      </c>
      <c r="G728" s="11">
        <v>27.4</v>
      </c>
      <c r="H728" s="1" t="s">
        <v>0</v>
      </c>
      <c r="I728">
        <v>0</v>
      </c>
      <c r="J728" t="s">
        <v>6</v>
      </c>
      <c r="K728">
        <v>24.6</v>
      </c>
      <c r="L728">
        <v>28.3</v>
      </c>
      <c r="M728">
        <f t="shared" si="47"/>
        <v>0</v>
      </c>
    </row>
    <row r="729" spans="1:13" x14ac:dyDescent="0.2">
      <c r="A729" s="9">
        <v>43464</v>
      </c>
      <c r="B729">
        <f t="shared" si="44"/>
        <v>30</v>
      </c>
      <c r="C729">
        <f t="shared" si="45"/>
        <v>12</v>
      </c>
      <c r="D729">
        <f t="shared" si="46"/>
        <v>2018</v>
      </c>
      <c r="E729" s="11">
        <v>3.1309999999999998</v>
      </c>
      <c r="F729" s="11">
        <v>101.54900000000001</v>
      </c>
      <c r="G729" s="11">
        <v>27.4</v>
      </c>
      <c r="H729" s="1" t="s">
        <v>0</v>
      </c>
      <c r="I729">
        <v>0</v>
      </c>
      <c r="J729" t="s">
        <v>6</v>
      </c>
      <c r="K729">
        <v>25.4</v>
      </c>
      <c r="L729">
        <v>29.2</v>
      </c>
      <c r="M729">
        <f t="shared" si="47"/>
        <v>0</v>
      </c>
    </row>
    <row r="730" spans="1:13" x14ac:dyDescent="0.2">
      <c r="A730" s="9">
        <v>43465</v>
      </c>
      <c r="B730">
        <f t="shared" si="44"/>
        <v>31</v>
      </c>
      <c r="C730">
        <f t="shared" si="45"/>
        <v>12</v>
      </c>
      <c r="D730">
        <f t="shared" si="46"/>
        <v>2018</v>
      </c>
      <c r="E730" s="11">
        <v>3.1309999999999998</v>
      </c>
      <c r="F730" s="11">
        <v>101.54900000000001</v>
      </c>
      <c r="G730" s="11">
        <v>27.4</v>
      </c>
      <c r="H730" s="1" t="s">
        <v>0</v>
      </c>
      <c r="I730">
        <v>0</v>
      </c>
      <c r="J730" t="s">
        <v>6</v>
      </c>
      <c r="K730" t="s">
        <v>6</v>
      </c>
      <c r="L730">
        <v>27.7</v>
      </c>
      <c r="M730">
        <f t="shared" si="47"/>
        <v>0</v>
      </c>
    </row>
    <row r="731" spans="1:13" x14ac:dyDescent="0.2">
      <c r="A731" s="9">
        <v>43466</v>
      </c>
      <c r="B731">
        <f t="shared" si="44"/>
        <v>1</v>
      </c>
      <c r="C731">
        <f t="shared" si="45"/>
        <v>1</v>
      </c>
      <c r="D731">
        <f t="shared" si="46"/>
        <v>2019</v>
      </c>
      <c r="E731" s="11">
        <v>3.1309999999999998</v>
      </c>
      <c r="F731" s="11">
        <v>101.54900000000001</v>
      </c>
      <c r="G731" s="11">
        <v>27.4</v>
      </c>
      <c r="H731" s="1" t="s">
        <v>0</v>
      </c>
      <c r="I731">
        <v>2</v>
      </c>
      <c r="J731" t="s">
        <v>6</v>
      </c>
      <c r="K731" t="s">
        <v>6</v>
      </c>
      <c r="L731">
        <v>27.4</v>
      </c>
      <c r="M731">
        <f t="shared" si="47"/>
        <v>1</v>
      </c>
    </row>
    <row r="732" spans="1:13" x14ac:dyDescent="0.2">
      <c r="A732" s="9">
        <v>43467</v>
      </c>
      <c r="B732">
        <f t="shared" si="44"/>
        <v>2</v>
      </c>
      <c r="C732">
        <f t="shared" si="45"/>
        <v>1</v>
      </c>
      <c r="D732">
        <f t="shared" si="46"/>
        <v>2019</v>
      </c>
      <c r="E732" s="11">
        <v>3.1309999999999998</v>
      </c>
      <c r="F732" s="11">
        <v>101.54900000000001</v>
      </c>
      <c r="G732" s="11">
        <v>27.4</v>
      </c>
      <c r="H732" s="1" t="s">
        <v>0</v>
      </c>
      <c r="I732">
        <v>22.1</v>
      </c>
      <c r="J732" t="s">
        <v>6</v>
      </c>
      <c r="K732">
        <v>23.5</v>
      </c>
      <c r="L732">
        <v>28.2</v>
      </c>
      <c r="M732">
        <f t="shared" si="47"/>
        <v>1</v>
      </c>
    </row>
    <row r="733" spans="1:13" x14ac:dyDescent="0.2">
      <c r="A733" s="9">
        <v>43468</v>
      </c>
      <c r="B733">
        <f t="shared" si="44"/>
        <v>3</v>
      </c>
      <c r="C733">
        <f t="shared" si="45"/>
        <v>1</v>
      </c>
      <c r="D733">
        <f t="shared" si="46"/>
        <v>2019</v>
      </c>
      <c r="E733" s="11">
        <v>3.1309999999999998</v>
      </c>
      <c r="F733" s="11">
        <v>101.54900000000001</v>
      </c>
      <c r="G733" s="11">
        <v>27.4</v>
      </c>
      <c r="H733" s="1" t="s">
        <v>0</v>
      </c>
      <c r="I733">
        <v>0</v>
      </c>
      <c r="J733" t="s">
        <v>6</v>
      </c>
      <c r="K733">
        <v>23.8</v>
      </c>
      <c r="L733">
        <v>28.1</v>
      </c>
      <c r="M733">
        <f t="shared" si="47"/>
        <v>0</v>
      </c>
    </row>
    <row r="734" spans="1:13" x14ac:dyDescent="0.2">
      <c r="A734" s="9">
        <v>43469</v>
      </c>
      <c r="B734">
        <f t="shared" si="44"/>
        <v>4</v>
      </c>
      <c r="C734">
        <f t="shared" si="45"/>
        <v>1</v>
      </c>
      <c r="D734">
        <f t="shared" si="46"/>
        <v>2019</v>
      </c>
      <c r="E734" s="11">
        <v>3.1309999999999998</v>
      </c>
      <c r="F734" s="11">
        <v>101.54900000000001</v>
      </c>
      <c r="G734" s="11">
        <v>27.4</v>
      </c>
      <c r="H734" s="1" t="s">
        <v>0</v>
      </c>
      <c r="I734">
        <v>0</v>
      </c>
      <c r="J734" t="s">
        <v>6</v>
      </c>
      <c r="K734" t="s">
        <v>6</v>
      </c>
      <c r="L734">
        <v>28.3</v>
      </c>
      <c r="M734">
        <f t="shared" si="47"/>
        <v>0</v>
      </c>
    </row>
    <row r="735" spans="1:13" x14ac:dyDescent="0.2">
      <c r="A735" s="9">
        <v>43470</v>
      </c>
      <c r="B735">
        <f t="shared" si="44"/>
        <v>5</v>
      </c>
      <c r="C735">
        <f t="shared" si="45"/>
        <v>1</v>
      </c>
      <c r="D735">
        <f t="shared" si="46"/>
        <v>2019</v>
      </c>
      <c r="E735" s="11">
        <v>3.1309999999999998</v>
      </c>
      <c r="F735" s="11">
        <v>101.54900000000001</v>
      </c>
      <c r="G735" s="11">
        <v>27.4</v>
      </c>
      <c r="H735" s="1" t="s">
        <v>0</v>
      </c>
      <c r="I735">
        <v>0</v>
      </c>
      <c r="J735" t="s">
        <v>6</v>
      </c>
      <c r="K735">
        <v>24.1</v>
      </c>
      <c r="L735">
        <v>29.3</v>
      </c>
      <c r="M735">
        <f t="shared" si="47"/>
        <v>0</v>
      </c>
    </row>
    <row r="736" spans="1:13" x14ac:dyDescent="0.2">
      <c r="A736" s="9">
        <v>43471</v>
      </c>
      <c r="B736">
        <f t="shared" si="44"/>
        <v>6</v>
      </c>
      <c r="C736">
        <f t="shared" si="45"/>
        <v>1</v>
      </c>
      <c r="D736">
        <f t="shared" si="46"/>
        <v>2019</v>
      </c>
      <c r="E736" s="11">
        <v>3.1309999999999998</v>
      </c>
      <c r="F736" s="11">
        <v>101.54900000000001</v>
      </c>
      <c r="G736" s="11">
        <v>27.4</v>
      </c>
      <c r="H736" s="1" t="s">
        <v>0</v>
      </c>
      <c r="I736">
        <v>0</v>
      </c>
      <c r="J736" t="s">
        <v>6</v>
      </c>
      <c r="K736" t="s">
        <v>6</v>
      </c>
      <c r="L736">
        <v>28.1</v>
      </c>
      <c r="M736">
        <f t="shared" si="47"/>
        <v>0</v>
      </c>
    </row>
    <row r="737" spans="1:13" x14ac:dyDescent="0.2">
      <c r="A737" s="9">
        <v>43472</v>
      </c>
      <c r="B737">
        <f t="shared" si="44"/>
        <v>7</v>
      </c>
      <c r="C737">
        <f t="shared" si="45"/>
        <v>1</v>
      </c>
      <c r="D737">
        <f t="shared" si="46"/>
        <v>2019</v>
      </c>
      <c r="E737" s="11">
        <v>3.1309999999999998</v>
      </c>
      <c r="F737" s="11">
        <v>101.54900000000001</v>
      </c>
      <c r="G737" s="11">
        <v>27.4</v>
      </c>
      <c r="H737" s="1" t="s">
        <v>0</v>
      </c>
      <c r="I737">
        <v>25.1</v>
      </c>
      <c r="J737" t="s">
        <v>6</v>
      </c>
      <c r="K737">
        <v>23.9</v>
      </c>
      <c r="L737">
        <v>29.3</v>
      </c>
      <c r="M737">
        <f t="shared" si="47"/>
        <v>1</v>
      </c>
    </row>
    <row r="738" spans="1:13" x14ac:dyDescent="0.2">
      <c r="A738" s="9">
        <v>43473</v>
      </c>
      <c r="B738">
        <f t="shared" si="44"/>
        <v>8</v>
      </c>
      <c r="C738">
        <f t="shared" si="45"/>
        <v>1</v>
      </c>
      <c r="D738">
        <f t="shared" si="46"/>
        <v>2019</v>
      </c>
      <c r="E738" s="11">
        <v>3.1309999999999998</v>
      </c>
      <c r="F738" s="11">
        <v>101.54900000000001</v>
      </c>
      <c r="G738" s="11">
        <v>27.4</v>
      </c>
      <c r="H738" s="1" t="s">
        <v>0</v>
      </c>
      <c r="I738">
        <v>0</v>
      </c>
      <c r="J738" t="s">
        <v>6</v>
      </c>
      <c r="K738">
        <v>24.8</v>
      </c>
      <c r="L738">
        <v>28.3</v>
      </c>
      <c r="M738">
        <f t="shared" si="47"/>
        <v>0</v>
      </c>
    </row>
    <row r="739" spans="1:13" x14ac:dyDescent="0.2">
      <c r="A739" s="9">
        <v>43474</v>
      </c>
      <c r="B739">
        <f t="shared" si="44"/>
        <v>9</v>
      </c>
      <c r="C739">
        <f t="shared" si="45"/>
        <v>1</v>
      </c>
      <c r="D739">
        <f t="shared" si="46"/>
        <v>2019</v>
      </c>
      <c r="E739" s="11">
        <v>3.1309999999999998</v>
      </c>
      <c r="F739" s="11">
        <v>101.54900000000001</v>
      </c>
      <c r="G739" s="11">
        <v>27.4</v>
      </c>
      <c r="H739" s="1" t="s">
        <v>0</v>
      </c>
      <c r="I739">
        <v>6.6</v>
      </c>
      <c r="J739" t="s">
        <v>6</v>
      </c>
      <c r="K739" t="s">
        <v>6</v>
      </c>
      <c r="L739">
        <v>28.2</v>
      </c>
      <c r="M739">
        <f t="shared" si="47"/>
        <v>1</v>
      </c>
    </row>
    <row r="740" spans="1:13" x14ac:dyDescent="0.2">
      <c r="A740" s="9">
        <v>43475</v>
      </c>
      <c r="B740">
        <f t="shared" si="44"/>
        <v>10</v>
      </c>
      <c r="C740">
        <f t="shared" si="45"/>
        <v>1</v>
      </c>
      <c r="D740">
        <f t="shared" si="46"/>
        <v>2019</v>
      </c>
      <c r="E740" s="11">
        <v>3.1309999999999998</v>
      </c>
      <c r="F740" s="11">
        <v>101.54900000000001</v>
      </c>
      <c r="G740" s="11">
        <v>27.4</v>
      </c>
      <c r="H740" s="1" t="s">
        <v>0</v>
      </c>
      <c r="I740">
        <v>0.5</v>
      </c>
      <c r="J740" t="s">
        <v>6</v>
      </c>
      <c r="K740">
        <v>24.6</v>
      </c>
      <c r="L740">
        <v>28.6</v>
      </c>
      <c r="M740">
        <f t="shared" si="47"/>
        <v>1</v>
      </c>
    </row>
    <row r="741" spans="1:13" x14ac:dyDescent="0.2">
      <c r="A741" s="9">
        <v>43476</v>
      </c>
      <c r="B741">
        <f t="shared" si="44"/>
        <v>11</v>
      </c>
      <c r="C741">
        <f t="shared" si="45"/>
        <v>1</v>
      </c>
      <c r="D741">
        <f t="shared" si="46"/>
        <v>2019</v>
      </c>
      <c r="E741" s="11">
        <v>3.1309999999999998</v>
      </c>
      <c r="F741" s="11">
        <v>101.54900000000001</v>
      </c>
      <c r="G741" s="11">
        <v>27.4</v>
      </c>
      <c r="H741" s="1" t="s">
        <v>0</v>
      </c>
      <c r="I741">
        <v>2.2999999999999998</v>
      </c>
      <c r="J741" t="s">
        <v>6</v>
      </c>
      <c r="K741">
        <v>24.7</v>
      </c>
      <c r="L741">
        <v>29</v>
      </c>
      <c r="M741">
        <f t="shared" si="47"/>
        <v>1</v>
      </c>
    </row>
    <row r="742" spans="1:13" x14ac:dyDescent="0.2">
      <c r="A742" s="9">
        <v>43477</v>
      </c>
      <c r="B742">
        <f t="shared" si="44"/>
        <v>12</v>
      </c>
      <c r="C742">
        <f t="shared" si="45"/>
        <v>1</v>
      </c>
      <c r="D742">
        <f t="shared" si="46"/>
        <v>2019</v>
      </c>
      <c r="E742" s="11">
        <v>3.1309999999999998</v>
      </c>
      <c r="F742" s="11">
        <v>101.54900000000001</v>
      </c>
      <c r="G742" s="11">
        <v>27.4</v>
      </c>
      <c r="H742" s="1" t="s">
        <v>0</v>
      </c>
      <c r="I742">
        <v>0</v>
      </c>
      <c r="J742" t="s">
        <v>6</v>
      </c>
      <c r="K742">
        <v>24.8</v>
      </c>
      <c r="L742">
        <v>29.3</v>
      </c>
      <c r="M742">
        <f t="shared" si="47"/>
        <v>0</v>
      </c>
    </row>
    <row r="743" spans="1:13" x14ac:dyDescent="0.2">
      <c r="A743" s="9">
        <v>43478</v>
      </c>
      <c r="B743">
        <f t="shared" si="44"/>
        <v>13</v>
      </c>
      <c r="C743">
        <f t="shared" si="45"/>
        <v>1</v>
      </c>
      <c r="D743">
        <f t="shared" si="46"/>
        <v>2019</v>
      </c>
      <c r="E743" s="11">
        <v>3.1309999999999998</v>
      </c>
      <c r="F743" s="11">
        <v>101.54900000000001</v>
      </c>
      <c r="G743" s="11">
        <v>27.4</v>
      </c>
      <c r="H743" s="1" t="s">
        <v>0</v>
      </c>
      <c r="I743">
        <v>0</v>
      </c>
      <c r="J743" t="s">
        <v>6</v>
      </c>
      <c r="K743" t="s">
        <v>6</v>
      </c>
      <c r="L743">
        <v>28.9</v>
      </c>
      <c r="M743">
        <f t="shared" si="47"/>
        <v>0</v>
      </c>
    </row>
    <row r="744" spans="1:13" x14ac:dyDescent="0.2">
      <c r="A744" s="9">
        <v>43479</v>
      </c>
      <c r="B744">
        <f t="shared" si="44"/>
        <v>14</v>
      </c>
      <c r="C744">
        <f t="shared" si="45"/>
        <v>1</v>
      </c>
      <c r="D744">
        <f t="shared" si="46"/>
        <v>2019</v>
      </c>
      <c r="E744" s="11">
        <v>3.1309999999999998</v>
      </c>
      <c r="F744" s="11">
        <v>101.54900000000001</v>
      </c>
      <c r="G744" s="11">
        <v>27.4</v>
      </c>
      <c r="H744" s="1" t="s">
        <v>0</v>
      </c>
      <c r="I744">
        <v>3.8</v>
      </c>
      <c r="J744" t="s">
        <v>6</v>
      </c>
      <c r="K744" t="s">
        <v>6</v>
      </c>
      <c r="L744">
        <v>27.2</v>
      </c>
      <c r="M744">
        <f t="shared" si="47"/>
        <v>1</v>
      </c>
    </row>
    <row r="745" spans="1:13" x14ac:dyDescent="0.2">
      <c r="A745" s="9">
        <v>43480</v>
      </c>
      <c r="B745">
        <f t="shared" si="44"/>
        <v>15</v>
      </c>
      <c r="C745">
        <f t="shared" si="45"/>
        <v>1</v>
      </c>
      <c r="D745">
        <f t="shared" si="46"/>
        <v>2019</v>
      </c>
      <c r="E745" s="11">
        <v>3.1309999999999998</v>
      </c>
      <c r="F745" s="11">
        <v>101.54900000000001</v>
      </c>
      <c r="G745" s="11">
        <v>27.4</v>
      </c>
      <c r="H745" s="1" t="s">
        <v>0</v>
      </c>
      <c r="I745">
        <v>40.4</v>
      </c>
      <c r="J745" t="s">
        <v>6</v>
      </c>
      <c r="K745">
        <v>23.9</v>
      </c>
      <c r="L745">
        <v>28.6</v>
      </c>
      <c r="M745">
        <f t="shared" si="47"/>
        <v>1</v>
      </c>
    </row>
    <row r="746" spans="1:13" x14ac:dyDescent="0.2">
      <c r="A746" s="9">
        <v>43481</v>
      </c>
      <c r="B746">
        <f t="shared" si="44"/>
        <v>16</v>
      </c>
      <c r="C746">
        <f t="shared" si="45"/>
        <v>1</v>
      </c>
      <c r="D746">
        <f t="shared" si="46"/>
        <v>2019</v>
      </c>
      <c r="E746" s="11">
        <v>3.1309999999999998</v>
      </c>
      <c r="F746" s="11">
        <v>101.54900000000001</v>
      </c>
      <c r="G746" s="11">
        <v>27.4</v>
      </c>
      <c r="H746" s="1" t="s">
        <v>0</v>
      </c>
      <c r="I746">
        <v>3</v>
      </c>
      <c r="J746" t="s">
        <v>6</v>
      </c>
      <c r="K746">
        <v>24.7</v>
      </c>
      <c r="L746">
        <v>28</v>
      </c>
      <c r="M746">
        <f t="shared" si="47"/>
        <v>1</v>
      </c>
    </row>
    <row r="747" spans="1:13" x14ac:dyDescent="0.2">
      <c r="A747" s="9">
        <v>43482</v>
      </c>
      <c r="B747">
        <f t="shared" si="44"/>
        <v>17</v>
      </c>
      <c r="C747">
        <f t="shared" si="45"/>
        <v>1</v>
      </c>
      <c r="D747">
        <f t="shared" si="46"/>
        <v>2019</v>
      </c>
      <c r="E747" s="11">
        <v>3.1309999999999998</v>
      </c>
      <c r="F747" s="11">
        <v>101.54900000000001</v>
      </c>
      <c r="G747" s="11">
        <v>27.4</v>
      </c>
      <c r="H747" s="1" t="s">
        <v>0</v>
      </c>
      <c r="I747">
        <v>1</v>
      </c>
      <c r="J747" t="s">
        <v>6</v>
      </c>
      <c r="K747" t="s">
        <v>6</v>
      </c>
      <c r="L747">
        <v>27.2</v>
      </c>
      <c r="M747">
        <f t="shared" si="47"/>
        <v>1</v>
      </c>
    </row>
    <row r="748" spans="1:13" x14ac:dyDescent="0.2">
      <c r="A748" s="9">
        <v>43483</v>
      </c>
      <c r="B748">
        <f t="shared" si="44"/>
        <v>18</v>
      </c>
      <c r="C748">
        <f t="shared" si="45"/>
        <v>1</v>
      </c>
      <c r="D748">
        <f t="shared" si="46"/>
        <v>2019</v>
      </c>
      <c r="E748" s="11">
        <v>3.1309999999999998</v>
      </c>
      <c r="F748" s="11">
        <v>101.54900000000001</v>
      </c>
      <c r="G748" s="11">
        <v>27.4</v>
      </c>
      <c r="H748" s="1" t="s">
        <v>0</v>
      </c>
      <c r="I748">
        <v>46.5</v>
      </c>
      <c r="J748" t="s">
        <v>6</v>
      </c>
      <c r="K748">
        <v>24.3</v>
      </c>
      <c r="L748">
        <v>28.9</v>
      </c>
      <c r="M748">
        <f t="shared" si="47"/>
        <v>1</v>
      </c>
    </row>
    <row r="749" spans="1:13" x14ac:dyDescent="0.2">
      <c r="A749" s="9">
        <v>43484</v>
      </c>
      <c r="B749">
        <f t="shared" si="44"/>
        <v>19</v>
      </c>
      <c r="C749">
        <f t="shared" si="45"/>
        <v>1</v>
      </c>
      <c r="D749">
        <f t="shared" si="46"/>
        <v>2019</v>
      </c>
      <c r="E749" s="11">
        <v>3.1309999999999998</v>
      </c>
      <c r="F749" s="11">
        <v>101.54900000000001</v>
      </c>
      <c r="G749" s="11">
        <v>27.4</v>
      </c>
      <c r="H749" s="1" t="s">
        <v>0</v>
      </c>
      <c r="I749">
        <v>0</v>
      </c>
      <c r="J749" t="s">
        <v>6</v>
      </c>
      <c r="K749">
        <v>24.8</v>
      </c>
      <c r="L749">
        <v>29.1</v>
      </c>
      <c r="M749">
        <f t="shared" si="47"/>
        <v>0</v>
      </c>
    </row>
    <row r="750" spans="1:13" x14ac:dyDescent="0.2">
      <c r="A750" s="9">
        <v>43485</v>
      </c>
      <c r="B750">
        <f t="shared" si="44"/>
        <v>20</v>
      </c>
      <c r="C750">
        <f t="shared" si="45"/>
        <v>1</v>
      </c>
      <c r="D750">
        <f t="shared" si="46"/>
        <v>2019</v>
      </c>
      <c r="E750" s="11">
        <v>3.1309999999999998</v>
      </c>
      <c r="F750" s="11">
        <v>101.54900000000001</v>
      </c>
      <c r="G750" s="11">
        <v>27.4</v>
      </c>
      <c r="H750" s="1" t="s">
        <v>0</v>
      </c>
      <c r="I750">
        <v>0</v>
      </c>
      <c r="J750" t="s">
        <v>6</v>
      </c>
      <c r="K750" t="s">
        <v>6</v>
      </c>
      <c r="L750">
        <v>28.1</v>
      </c>
      <c r="M750">
        <f t="shared" si="47"/>
        <v>0</v>
      </c>
    </row>
    <row r="751" spans="1:13" x14ac:dyDescent="0.2">
      <c r="A751" s="9">
        <v>43486</v>
      </c>
      <c r="B751">
        <f t="shared" si="44"/>
        <v>21</v>
      </c>
      <c r="C751">
        <f t="shared" si="45"/>
        <v>1</v>
      </c>
      <c r="D751">
        <f t="shared" si="46"/>
        <v>2019</v>
      </c>
      <c r="E751" s="11">
        <v>3.1309999999999998</v>
      </c>
      <c r="F751" s="11">
        <v>101.54900000000001</v>
      </c>
      <c r="G751" s="11">
        <v>27.4</v>
      </c>
      <c r="H751" s="1" t="s">
        <v>0</v>
      </c>
      <c r="I751">
        <v>5.6</v>
      </c>
      <c r="J751" t="s">
        <v>6</v>
      </c>
      <c r="K751" t="s">
        <v>6</v>
      </c>
      <c r="L751">
        <v>27.9</v>
      </c>
      <c r="M751">
        <f t="shared" si="47"/>
        <v>1</v>
      </c>
    </row>
    <row r="752" spans="1:13" x14ac:dyDescent="0.2">
      <c r="A752" s="9">
        <v>43487</v>
      </c>
      <c r="B752">
        <f t="shared" si="44"/>
        <v>22</v>
      </c>
      <c r="C752">
        <f t="shared" si="45"/>
        <v>1</v>
      </c>
      <c r="D752">
        <f t="shared" si="46"/>
        <v>2019</v>
      </c>
      <c r="E752" s="11">
        <v>3.1309999999999998</v>
      </c>
      <c r="F752" s="11">
        <v>101.54900000000001</v>
      </c>
      <c r="G752" s="11">
        <v>27.4</v>
      </c>
      <c r="H752" s="1" t="s">
        <v>0</v>
      </c>
      <c r="I752">
        <v>37.6</v>
      </c>
      <c r="J752" t="s">
        <v>6</v>
      </c>
      <c r="K752">
        <v>22.9</v>
      </c>
      <c r="L752">
        <v>28.4</v>
      </c>
      <c r="M752">
        <f t="shared" si="47"/>
        <v>1</v>
      </c>
    </row>
    <row r="753" spans="1:13" x14ac:dyDescent="0.2">
      <c r="A753" s="9">
        <v>43488</v>
      </c>
      <c r="B753">
        <f t="shared" si="44"/>
        <v>23</v>
      </c>
      <c r="C753">
        <f t="shared" si="45"/>
        <v>1</v>
      </c>
      <c r="D753">
        <f t="shared" si="46"/>
        <v>2019</v>
      </c>
      <c r="E753" s="11">
        <v>3.1309999999999998</v>
      </c>
      <c r="F753" s="11">
        <v>101.54900000000001</v>
      </c>
      <c r="G753" s="11">
        <v>27.4</v>
      </c>
      <c r="H753" s="1" t="s">
        <v>0</v>
      </c>
      <c r="I753">
        <v>0</v>
      </c>
      <c r="J753" t="s">
        <v>6</v>
      </c>
      <c r="K753">
        <v>24.3</v>
      </c>
      <c r="L753">
        <v>29.6</v>
      </c>
      <c r="M753">
        <f t="shared" si="47"/>
        <v>0</v>
      </c>
    </row>
    <row r="754" spans="1:13" x14ac:dyDescent="0.2">
      <c r="A754" s="9">
        <v>43489</v>
      </c>
      <c r="B754">
        <f t="shared" si="44"/>
        <v>24</v>
      </c>
      <c r="C754">
        <f t="shared" si="45"/>
        <v>1</v>
      </c>
      <c r="D754">
        <f t="shared" si="46"/>
        <v>2019</v>
      </c>
      <c r="E754" s="11">
        <v>3.1309999999999998</v>
      </c>
      <c r="F754" s="11">
        <v>101.54900000000001</v>
      </c>
      <c r="G754" s="11">
        <v>27.4</v>
      </c>
      <c r="H754" s="1" t="s">
        <v>0</v>
      </c>
      <c r="I754">
        <v>0</v>
      </c>
      <c r="J754" t="s">
        <v>6</v>
      </c>
      <c r="K754">
        <v>24.8</v>
      </c>
      <c r="L754">
        <v>27.7</v>
      </c>
      <c r="M754">
        <f t="shared" si="47"/>
        <v>0</v>
      </c>
    </row>
    <row r="755" spans="1:13" x14ac:dyDescent="0.2">
      <c r="A755" s="9">
        <v>43490</v>
      </c>
      <c r="B755">
        <f t="shared" si="44"/>
        <v>25</v>
      </c>
      <c r="C755">
        <f t="shared" si="45"/>
        <v>1</v>
      </c>
      <c r="D755">
        <f t="shared" si="46"/>
        <v>2019</v>
      </c>
      <c r="E755" s="11">
        <v>3.1309999999999998</v>
      </c>
      <c r="F755" s="11">
        <v>101.54900000000001</v>
      </c>
      <c r="G755" s="11">
        <v>27.4</v>
      </c>
      <c r="H755" s="1" t="s">
        <v>0</v>
      </c>
      <c r="I755">
        <v>11.7</v>
      </c>
      <c r="J755" t="s">
        <v>6</v>
      </c>
      <c r="K755">
        <v>24.8</v>
      </c>
      <c r="L755">
        <v>28.1</v>
      </c>
      <c r="M755">
        <f t="shared" si="47"/>
        <v>1</v>
      </c>
    </row>
    <row r="756" spans="1:13" x14ac:dyDescent="0.2">
      <c r="A756" s="9">
        <v>43491</v>
      </c>
      <c r="B756">
        <f t="shared" si="44"/>
        <v>26</v>
      </c>
      <c r="C756">
        <f t="shared" si="45"/>
        <v>1</v>
      </c>
      <c r="D756">
        <f t="shared" si="46"/>
        <v>2019</v>
      </c>
      <c r="E756" s="11">
        <v>3.1309999999999998</v>
      </c>
      <c r="F756" s="11">
        <v>101.54900000000001</v>
      </c>
      <c r="G756" s="11">
        <v>27.4</v>
      </c>
      <c r="H756" s="1" t="s">
        <v>0</v>
      </c>
      <c r="I756">
        <v>0</v>
      </c>
      <c r="J756" t="s">
        <v>6</v>
      </c>
      <c r="K756" t="s">
        <v>6</v>
      </c>
      <c r="L756">
        <v>26.7</v>
      </c>
      <c r="M756">
        <f t="shared" si="47"/>
        <v>0</v>
      </c>
    </row>
    <row r="757" spans="1:13" x14ac:dyDescent="0.2">
      <c r="A757" s="9">
        <v>43492</v>
      </c>
      <c r="B757">
        <f t="shared" si="44"/>
        <v>27</v>
      </c>
      <c r="C757">
        <f t="shared" si="45"/>
        <v>1</v>
      </c>
      <c r="D757">
        <f t="shared" si="46"/>
        <v>2019</v>
      </c>
      <c r="E757" s="11">
        <v>3.1309999999999998</v>
      </c>
      <c r="F757" s="11">
        <v>101.54900000000001</v>
      </c>
      <c r="G757" s="11">
        <v>27.4</v>
      </c>
      <c r="H757" s="1" t="s">
        <v>0</v>
      </c>
      <c r="I757">
        <v>7.1</v>
      </c>
      <c r="J757" t="s">
        <v>6</v>
      </c>
      <c r="K757">
        <v>24.3</v>
      </c>
      <c r="L757">
        <v>28.6</v>
      </c>
      <c r="M757">
        <f t="shared" si="47"/>
        <v>1</v>
      </c>
    </row>
    <row r="758" spans="1:13" x14ac:dyDescent="0.2">
      <c r="A758" s="9">
        <v>43493</v>
      </c>
      <c r="B758">
        <f t="shared" si="44"/>
        <v>28</v>
      </c>
      <c r="C758">
        <f t="shared" si="45"/>
        <v>1</v>
      </c>
      <c r="D758">
        <f t="shared" si="46"/>
        <v>2019</v>
      </c>
      <c r="E758" s="11">
        <v>3.1309999999999998</v>
      </c>
      <c r="F758" s="11">
        <v>101.54900000000001</v>
      </c>
      <c r="G758" s="11">
        <v>27.4</v>
      </c>
      <c r="H758" s="1" t="s">
        <v>0</v>
      </c>
      <c r="I758">
        <v>0</v>
      </c>
      <c r="J758" t="s">
        <v>6</v>
      </c>
      <c r="K758">
        <v>24.5</v>
      </c>
      <c r="L758">
        <v>28.2</v>
      </c>
      <c r="M758">
        <f t="shared" si="47"/>
        <v>0</v>
      </c>
    </row>
    <row r="759" spans="1:13" x14ac:dyDescent="0.2">
      <c r="A759" s="9">
        <v>43494</v>
      </c>
      <c r="B759">
        <f t="shared" si="44"/>
        <v>29</v>
      </c>
      <c r="C759">
        <f t="shared" si="45"/>
        <v>1</v>
      </c>
      <c r="D759">
        <f t="shared" si="46"/>
        <v>2019</v>
      </c>
      <c r="E759" s="11">
        <v>3.1309999999999998</v>
      </c>
      <c r="F759" s="11">
        <v>101.54900000000001</v>
      </c>
      <c r="G759" s="11">
        <v>27.4</v>
      </c>
      <c r="H759" s="1" t="s">
        <v>0</v>
      </c>
      <c r="I759">
        <v>4.5999999999999996</v>
      </c>
      <c r="J759" t="s">
        <v>6</v>
      </c>
      <c r="K759" t="s">
        <v>6</v>
      </c>
      <c r="L759">
        <v>27.1</v>
      </c>
      <c r="M759">
        <f t="shared" si="47"/>
        <v>1</v>
      </c>
    </row>
    <row r="760" spans="1:13" x14ac:dyDescent="0.2">
      <c r="A760" s="9">
        <v>43495</v>
      </c>
      <c r="B760">
        <f t="shared" si="44"/>
        <v>30</v>
      </c>
      <c r="C760">
        <f t="shared" si="45"/>
        <v>1</v>
      </c>
      <c r="D760">
        <f t="shared" si="46"/>
        <v>2019</v>
      </c>
      <c r="E760" s="11">
        <v>3.1309999999999998</v>
      </c>
      <c r="F760" s="11">
        <v>101.54900000000001</v>
      </c>
      <c r="G760" s="11">
        <v>27.4</v>
      </c>
      <c r="H760" s="1" t="s">
        <v>0</v>
      </c>
      <c r="I760">
        <v>24.1</v>
      </c>
      <c r="J760" t="s">
        <v>6</v>
      </c>
      <c r="K760">
        <v>23.7</v>
      </c>
      <c r="L760">
        <v>28</v>
      </c>
      <c r="M760">
        <f t="shared" si="47"/>
        <v>1</v>
      </c>
    </row>
    <row r="761" spans="1:13" x14ac:dyDescent="0.2">
      <c r="A761" s="9">
        <v>43496</v>
      </c>
      <c r="B761">
        <f t="shared" si="44"/>
        <v>31</v>
      </c>
      <c r="C761">
        <f t="shared" si="45"/>
        <v>1</v>
      </c>
      <c r="D761">
        <f t="shared" si="46"/>
        <v>2019</v>
      </c>
      <c r="E761" s="11">
        <v>3.1309999999999998</v>
      </c>
      <c r="F761" s="11">
        <v>101.54900000000001</v>
      </c>
      <c r="G761" s="11">
        <v>27.4</v>
      </c>
      <c r="H761" s="1" t="s">
        <v>0</v>
      </c>
      <c r="I761">
        <v>1.3</v>
      </c>
      <c r="J761" t="s">
        <v>6</v>
      </c>
      <c r="K761">
        <v>23.9</v>
      </c>
      <c r="L761">
        <v>28.2</v>
      </c>
      <c r="M761">
        <f t="shared" si="47"/>
        <v>1</v>
      </c>
    </row>
    <row r="762" spans="1:13" x14ac:dyDescent="0.2">
      <c r="A762" s="9">
        <v>43497</v>
      </c>
      <c r="B762">
        <f t="shared" si="44"/>
        <v>1</v>
      </c>
      <c r="C762">
        <f t="shared" si="45"/>
        <v>2</v>
      </c>
      <c r="D762">
        <f t="shared" si="46"/>
        <v>2019</v>
      </c>
      <c r="E762" s="11">
        <v>3.1309999999999998</v>
      </c>
      <c r="F762" s="11">
        <v>101.54900000000001</v>
      </c>
      <c r="G762" s="11">
        <v>27.4</v>
      </c>
      <c r="H762" s="1" t="s">
        <v>0</v>
      </c>
      <c r="I762">
        <v>0</v>
      </c>
      <c r="J762" t="s">
        <v>6</v>
      </c>
      <c r="K762" t="s">
        <v>6</v>
      </c>
      <c r="L762">
        <v>29.4</v>
      </c>
      <c r="M762">
        <f t="shared" si="47"/>
        <v>0</v>
      </c>
    </row>
    <row r="763" spans="1:13" x14ac:dyDescent="0.2">
      <c r="A763" s="9">
        <v>43498</v>
      </c>
      <c r="B763">
        <f t="shared" si="44"/>
        <v>2</v>
      </c>
      <c r="C763">
        <f t="shared" si="45"/>
        <v>2</v>
      </c>
      <c r="D763">
        <f t="shared" si="46"/>
        <v>2019</v>
      </c>
      <c r="E763" s="11">
        <v>3.1309999999999998</v>
      </c>
      <c r="F763" s="11">
        <v>101.54900000000001</v>
      </c>
      <c r="G763" s="11">
        <v>27.4</v>
      </c>
      <c r="H763" s="1" t="s">
        <v>0</v>
      </c>
      <c r="I763">
        <v>0</v>
      </c>
      <c r="J763" t="s">
        <v>6</v>
      </c>
      <c r="K763">
        <v>25.3</v>
      </c>
      <c r="L763">
        <v>28.8</v>
      </c>
      <c r="M763">
        <f t="shared" si="47"/>
        <v>0</v>
      </c>
    </row>
    <row r="764" spans="1:13" x14ac:dyDescent="0.2">
      <c r="A764" s="9">
        <v>43499</v>
      </c>
      <c r="B764">
        <f t="shared" si="44"/>
        <v>3</v>
      </c>
      <c r="C764">
        <f t="shared" si="45"/>
        <v>2</v>
      </c>
      <c r="D764">
        <f t="shared" si="46"/>
        <v>2019</v>
      </c>
      <c r="E764" s="11">
        <v>3.1309999999999998</v>
      </c>
      <c r="F764" s="11">
        <v>101.54900000000001</v>
      </c>
      <c r="G764" s="11">
        <v>27.4</v>
      </c>
      <c r="H764" s="1" t="s">
        <v>0</v>
      </c>
      <c r="I764">
        <v>0.5</v>
      </c>
      <c r="J764" t="s">
        <v>6</v>
      </c>
      <c r="K764" t="s">
        <v>6</v>
      </c>
      <c r="L764">
        <v>28.4</v>
      </c>
      <c r="M764">
        <f t="shared" si="47"/>
        <v>1</v>
      </c>
    </row>
    <row r="765" spans="1:13" x14ac:dyDescent="0.2">
      <c r="A765" s="9">
        <v>43500</v>
      </c>
      <c r="B765">
        <f t="shared" si="44"/>
        <v>4</v>
      </c>
      <c r="C765">
        <f t="shared" si="45"/>
        <v>2</v>
      </c>
      <c r="D765">
        <f t="shared" si="46"/>
        <v>2019</v>
      </c>
      <c r="E765" s="11">
        <v>3.1309999999999998</v>
      </c>
      <c r="F765" s="11">
        <v>101.54900000000001</v>
      </c>
      <c r="G765" s="11">
        <v>27.4</v>
      </c>
      <c r="H765" s="1" t="s">
        <v>0</v>
      </c>
      <c r="I765">
        <v>26.9</v>
      </c>
      <c r="J765" t="s">
        <v>6</v>
      </c>
      <c r="K765">
        <v>24.9</v>
      </c>
      <c r="L765">
        <v>27.3</v>
      </c>
      <c r="M765">
        <f t="shared" si="47"/>
        <v>1</v>
      </c>
    </row>
    <row r="766" spans="1:13" x14ac:dyDescent="0.2">
      <c r="A766" s="9">
        <v>43501</v>
      </c>
      <c r="B766">
        <f t="shared" si="44"/>
        <v>5</v>
      </c>
      <c r="C766">
        <f t="shared" si="45"/>
        <v>2</v>
      </c>
      <c r="D766">
        <f t="shared" si="46"/>
        <v>2019</v>
      </c>
      <c r="E766" s="11">
        <v>3.1309999999999998</v>
      </c>
      <c r="F766" s="11">
        <v>101.54900000000001</v>
      </c>
      <c r="G766" s="11">
        <v>27.4</v>
      </c>
      <c r="H766" s="1" t="s">
        <v>0</v>
      </c>
      <c r="I766">
        <v>20.100000000000001</v>
      </c>
      <c r="J766" t="s">
        <v>6</v>
      </c>
      <c r="K766">
        <v>24.7</v>
      </c>
      <c r="L766">
        <v>28.6</v>
      </c>
      <c r="M766">
        <f t="shared" si="47"/>
        <v>1</v>
      </c>
    </row>
    <row r="767" spans="1:13" x14ac:dyDescent="0.2">
      <c r="A767" s="9">
        <v>43502</v>
      </c>
      <c r="B767">
        <f t="shared" si="44"/>
        <v>6</v>
      </c>
      <c r="C767">
        <f t="shared" si="45"/>
        <v>2</v>
      </c>
      <c r="D767">
        <f t="shared" si="46"/>
        <v>2019</v>
      </c>
      <c r="E767" s="11">
        <v>3.1309999999999998</v>
      </c>
      <c r="F767" s="11">
        <v>101.54900000000001</v>
      </c>
      <c r="G767" s="11">
        <v>27.4</v>
      </c>
      <c r="H767" s="1" t="s">
        <v>0</v>
      </c>
      <c r="I767">
        <v>0</v>
      </c>
      <c r="J767" t="s">
        <v>6</v>
      </c>
      <c r="K767">
        <v>24.6</v>
      </c>
      <c r="L767">
        <v>28.9</v>
      </c>
      <c r="M767">
        <f t="shared" si="47"/>
        <v>0</v>
      </c>
    </row>
    <row r="768" spans="1:13" x14ac:dyDescent="0.2">
      <c r="A768" s="9">
        <v>43503</v>
      </c>
      <c r="B768">
        <f t="shared" si="44"/>
        <v>7</v>
      </c>
      <c r="C768">
        <f t="shared" si="45"/>
        <v>2</v>
      </c>
      <c r="D768">
        <f t="shared" si="46"/>
        <v>2019</v>
      </c>
      <c r="E768" s="11">
        <v>3.1309999999999998</v>
      </c>
      <c r="F768" s="11">
        <v>101.54900000000001</v>
      </c>
      <c r="G768" s="11">
        <v>27.4</v>
      </c>
      <c r="H768" s="1" t="s">
        <v>0</v>
      </c>
      <c r="I768">
        <v>0</v>
      </c>
      <c r="J768" t="s">
        <v>6</v>
      </c>
      <c r="K768">
        <v>24.9</v>
      </c>
      <c r="L768">
        <v>28.6</v>
      </c>
      <c r="M768">
        <f t="shared" si="47"/>
        <v>0</v>
      </c>
    </row>
    <row r="769" spans="1:13" x14ac:dyDescent="0.2">
      <c r="A769" s="9">
        <v>43504</v>
      </c>
      <c r="B769">
        <f t="shared" si="44"/>
        <v>8</v>
      </c>
      <c r="C769">
        <f t="shared" si="45"/>
        <v>2</v>
      </c>
      <c r="D769">
        <f t="shared" si="46"/>
        <v>2019</v>
      </c>
      <c r="E769" s="11">
        <v>3.1309999999999998</v>
      </c>
      <c r="F769" s="11">
        <v>101.54900000000001</v>
      </c>
      <c r="G769" s="11">
        <v>27.4</v>
      </c>
      <c r="H769" s="1" t="s">
        <v>0</v>
      </c>
      <c r="I769">
        <v>0</v>
      </c>
      <c r="J769" t="s">
        <v>6</v>
      </c>
      <c r="K769" t="s">
        <v>6</v>
      </c>
      <c r="L769">
        <v>28.1</v>
      </c>
      <c r="M769">
        <f t="shared" si="47"/>
        <v>0</v>
      </c>
    </row>
    <row r="770" spans="1:13" x14ac:dyDescent="0.2">
      <c r="A770" s="9">
        <v>43505</v>
      </c>
      <c r="B770">
        <f t="shared" si="44"/>
        <v>9</v>
      </c>
      <c r="C770">
        <f t="shared" si="45"/>
        <v>2</v>
      </c>
      <c r="D770">
        <f t="shared" si="46"/>
        <v>2019</v>
      </c>
      <c r="E770" s="11">
        <v>3.1309999999999998</v>
      </c>
      <c r="F770" s="11">
        <v>101.54900000000001</v>
      </c>
      <c r="G770" s="11">
        <v>27.4</v>
      </c>
      <c r="H770" s="1" t="s">
        <v>0</v>
      </c>
      <c r="I770">
        <v>4.8</v>
      </c>
      <c r="J770" t="s">
        <v>6</v>
      </c>
      <c r="K770">
        <v>24.3</v>
      </c>
      <c r="L770">
        <v>28.1</v>
      </c>
      <c r="M770">
        <f t="shared" si="47"/>
        <v>1</v>
      </c>
    </row>
    <row r="771" spans="1:13" x14ac:dyDescent="0.2">
      <c r="A771" s="9">
        <v>43506</v>
      </c>
      <c r="B771">
        <f t="shared" ref="B771:B834" si="48">DAY(A771)</f>
        <v>10</v>
      </c>
      <c r="C771">
        <f t="shared" ref="C771:C834" si="49">MONTH(A771)</f>
        <v>2</v>
      </c>
      <c r="D771">
        <f t="shared" ref="D771:D834" si="50">YEAR(A771)</f>
        <v>2019</v>
      </c>
      <c r="E771" s="11">
        <v>3.1309999999999998</v>
      </c>
      <c r="F771" s="11">
        <v>101.54900000000001</v>
      </c>
      <c r="G771" s="11">
        <v>27.4</v>
      </c>
      <c r="H771" s="1" t="s">
        <v>0</v>
      </c>
      <c r="I771">
        <v>24.1</v>
      </c>
      <c r="J771" t="s">
        <v>6</v>
      </c>
      <c r="K771" t="s">
        <v>6</v>
      </c>
      <c r="L771">
        <v>26.8</v>
      </c>
      <c r="M771">
        <f t="shared" ref="M771:M834" si="51">IF(ISNUMBER(I771), IF(I771&gt;0, 1, 0), "")</f>
        <v>1</v>
      </c>
    </row>
    <row r="772" spans="1:13" x14ac:dyDescent="0.2">
      <c r="A772" s="9">
        <v>43507</v>
      </c>
      <c r="B772">
        <f t="shared" si="48"/>
        <v>11</v>
      </c>
      <c r="C772">
        <f t="shared" si="49"/>
        <v>2</v>
      </c>
      <c r="D772">
        <f t="shared" si="50"/>
        <v>2019</v>
      </c>
      <c r="E772" s="11">
        <v>3.1309999999999998</v>
      </c>
      <c r="F772" s="11">
        <v>101.54900000000001</v>
      </c>
      <c r="G772" s="11">
        <v>27.4</v>
      </c>
      <c r="H772" s="1" t="s">
        <v>0</v>
      </c>
      <c r="I772">
        <v>54.1</v>
      </c>
      <c r="J772" t="s">
        <v>6</v>
      </c>
      <c r="K772">
        <v>22.6</v>
      </c>
      <c r="L772">
        <v>28.7</v>
      </c>
      <c r="M772">
        <f t="shared" si="51"/>
        <v>1</v>
      </c>
    </row>
    <row r="773" spans="1:13" x14ac:dyDescent="0.2">
      <c r="A773" s="9">
        <v>43508</v>
      </c>
      <c r="B773">
        <f t="shared" si="48"/>
        <v>12</v>
      </c>
      <c r="C773">
        <f t="shared" si="49"/>
        <v>2</v>
      </c>
      <c r="D773">
        <f t="shared" si="50"/>
        <v>2019</v>
      </c>
      <c r="E773" s="11">
        <v>3.1309999999999998</v>
      </c>
      <c r="F773" s="11">
        <v>101.54900000000001</v>
      </c>
      <c r="G773" s="11">
        <v>27.4</v>
      </c>
      <c r="H773" s="1" t="s">
        <v>0</v>
      </c>
      <c r="I773">
        <v>0</v>
      </c>
      <c r="J773" t="s">
        <v>6</v>
      </c>
      <c r="K773">
        <v>22.7</v>
      </c>
      <c r="L773">
        <v>29.6</v>
      </c>
      <c r="M773">
        <f t="shared" si="51"/>
        <v>0</v>
      </c>
    </row>
    <row r="774" spans="1:13" x14ac:dyDescent="0.2">
      <c r="A774" s="9">
        <v>43509</v>
      </c>
      <c r="B774">
        <f t="shared" si="48"/>
        <v>13</v>
      </c>
      <c r="C774">
        <f t="shared" si="49"/>
        <v>2</v>
      </c>
      <c r="D774">
        <f t="shared" si="50"/>
        <v>2019</v>
      </c>
      <c r="E774" s="11">
        <v>3.1309999999999998</v>
      </c>
      <c r="F774" s="11">
        <v>101.54900000000001</v>
      </c>
      <c r="G774" s="11">
        <v>27.4</v>
      </c>
      <c r="H774" s="1" t="s">
        <v>0</v>
      </c>
      <c r="I774">
        <v>0</v>
      </c>
      <c r="J774" t="s">
        <v>6</v>
      </c>
      <c r="K774">
        <v>22.8</v>
      </c>
      <c r="L774">
        <v>29.6</v>
      </c>
      <c r="M774">
        <f t="shared" si="51"/>
        <v>0</v>
      </c>
    </row>
    <row r="775" spans="1:13" x14ac:dyDescent="0.2">
      <c r="A775" s="9">
        <v>43510</v>
      </c>
      <c r="B775">
        <f t="shared" si="48"/>
        <v>14</v>
      </c>
      <c r="C775">
        <f t="shared" si="49"/>
        <v>2</v>
      </c>
      <c r="D775">
        <f t="shared" si="50"/>
        <v>2019</v>
      </c>
      <c r="E775" s="11">
        <v>3.1309999999999998</v>
      </c>
      <c r="F775" s="11">
        <v>101.54900000000001</v>
      </c>
      <c r="G775" s="11">
        <v>27.4</v>
      </c>
      <c r="H775" s="1" t="s">
        <v>0</v>
      </c>
      <c r="I775">
        <v>0</v>
      </c>
      <c r="J775" t="s">
        <v>6</v>
      </c>
      <c r="K775">
        <v>25.7</v>
      </c>
      <c r="L775">
        <v>29.3</v>
      </c>
      <c r="M775">
        <f t="shared" si="51"/>
        <v>0</v>
      </c>
    </row>
    <row r="776" spans="1:13" x14ac:dyDescent="0.2">
      <c r="A776" s="9">
        <v>43511</v>
      </c>
      <c r="B776">
        <f t="shared" si="48"/>
        <v>15</v>
      </c>
      <c r="C776">
        <f t="shared" si="49"/>
        <v>2</v>
      </c>
      <c r="D776">
        <f t="shared" si="50"/>
        <v>2019</v>
      </c>
      <c r="E776" s="11">
        <v>3.1309999999999998</v>
      </c>
      <c r="F776" s="11">
        <v>101.54900000000001</v>
      </c>
      <c r="G776" s="11">
        <v>27.4</v>
      </c>
      <c r="H776" s="1" t="s">
        <v>0</v>
      </c>
      <c r="I776">
        <v>0</v>
      </c>
      <c r="J776" t="s">
        <v>6</v>
      </c>
      <c r="K776" t="s">
        <v>6</v>
      </c>
      <c r="L776">
        <v>29.1</v>
      </c>
      <c r="M776">
        <f t="shared" si="51"/>
        <v>0</v>
      </c>
    </row>
    <row r="777" spans="1:13" x14ac:dyDescent="0.2">
      <c r="A777" s="9">
        <v>43512</v>
      </c>
      <c r="B777">
        <f t="shared" si="48"/>
        <v>16</v>
      </c>
      <c r="C777">
        <f t="shared" si="49"/>
        <v>2</v>
      </c>
      <c r="D777">
        <f t="shared" si="50"/>
        <v>2019</v>
      </c>
      <c r="E777" s="11">
        <v>3.1309999999999998</v>
      </c>
      <c r="F777" s="11">
        <v>101.54900000000001</v>
      </c>
      <c r="G777" s="11">
        <v>27.4</v>
      </c>
      <c r="H777" s="1" t="s">
        <v>0</v>
      </c>
      <c r="I777">
        <v>0</v>
      </c>
      <c r="J777" t="s">
        <v>6</v>
      </c>
      <c r="K777">
        <v>25</v>
      </c>
      <c r="L777">
        <v>28.8</v>
      </c>
      <c r="M777">
        <f t="shared" si="51"/>
        <v>0</v>
      </c>
    </row>
    <row r="778" spans="1:13" x14ac:dyDescent="0.2">
      <c r="A778" s="9">
        <v>43513</v>
      </c>
      <c r="B778">
        <f t="shared" si="48"/>
        <v>17</v>
      </c>
      <c r="C778">
        <f t="shared" si="49"/>
        <v>2</v>
      </c>
      <c r="D778">
        <f t="shared" si="50"/>
        <v>2019</v>
      </c>
      <c r="E778" s="11">
        <v>3.1309999999999998</v>
      </c>
      <c r="F778" s="11">
        <v>101.54900000000001</v>
      </c>
      <c r="G778" s="11">
        <v>27.4</v>
      </c>
      <c r="H778" s="1" t="s">
        <v>0</v>
      </c>
      <c r="I778">
        <v>0</v>
      </c>
      <c r="J778" t="s">
        <v>6</v>
      </c>
      <c r="K778" t="s">
        <v>6</v>
      </c>
      <c r="L778">
        <v>28.6</v>
      </c>
      <c r="M778">
        <f t="shared" si="51"/>
        <v>0</v>
      </c>
    </row>
    <row r="779" spans="1:13" x14ac:dyDescent="0.2">
      <c r="A779" s="9">
        <v>43514</v>
      </c>
      <c r="B779">
        <f t="shared" si="48"/>
        <v>18</v>
      </c>
      <c r="C779">
        <f t="shared" si="49"/>
        <v>2</v>
      </c>
      <c r="D779">
        <f t="shared" si="50"/>
        <v>2019</v>
      </c>
      <c r="E779" s="11">
        <v>3.1309999999999998</v>
      </c>
      <c r="F779" s="11">
        <v>101.54900000000001</v>
      </c>
      <c r="G779" s="11">
        <v>27.4</v>
      </c>
      <c r="H779" s="1" t="s">
        <v>0</v>
      </c>
      <c r="I779">
        <v>13.7</v>
      </c>
      <c r="J779" t="s">
        <v>6</v>
      </c>
      <c r="K779">
        <v>24</v>
      </c>
      <c r="L779">
        <v>27.3</v>
      </c>
      <c r="M779">
        <f t="shared" si="51"/>
        <v>1</v>
      </c>
    </row>
    <row r="780" spans="1:13" x14ac:dyDescent="0.2">
      <c r="A780" s="9">
        <v>43515</v>
      </c>
      <c r="B780">
        <f t="shared" si="48"/>
        <v>19</v>
      </c>
      <c r="C780">
        <f t="shared" si="49"/>
        <v>2</v>
      </c>
      <c r="D780">
        <f t="shared" si="50"/>
        <v>2019</v>
      </c>
      <c r="E780" s="11">
        <v>3.1309999999999998</v>
      </c>
      <c r="F780" s="11">
        <v>101.54900000000001</v>
      </c>
      <c r="G780" s="11">
        <v>27.4</v>
      </c>
      <c r="H780" s="1" t="s">
        <v>0</v>
      </c>
      <c r="I780">
        <v>1.3</v>
      </c>
      <c r="J780" t="s">
        <v>6</v>
      </c>
      <c r="K780">
        <v>24.9</v>
      </c>
      <c r="L780">
        <v>27.6</v>
      </c>
      <c r="M780">
        <f t="shared" si="51"/>
        <v>1</v>
      </c>
    </row>
    <row r="781" spans="1:13" x14ac:dyDescent="0.2">
      <c r="A781" s="9">
        <v>43516</v>
      </c>
      <c r="B781">
        <f t="shared" si="48"/>
        <v>20</v>
      </c>
      <c r="C781">
        <f t="shared" si="49"/>
        <v>2</v>
      </c>
      <c r="D781">
        <f t="shared" si="50"/>
        <v>2019</v>
      </c>
      <c r="E781" s="11">
        <v>3.1309999999999998</v>
      </c>
      <c r="F781" s="11">
        <v>101.54900000000001</v>
      </c>
      <c r="G781" s="11">
        <v>27.4</v>
      </c>
      <c r="H781" s="1" t="s">
        <v>0</v>
      </c>
      <c r="I781">
        <v>6.1</v>
      </c>
      <c r="J781" t="s">
        <v>6</v>
      </c>
      <c r="K781" t="s">
        <v>6</v>
      </c>
      <c r="L781">
        <v>28.1</v>
      </c>
      <c r="M781">
        <f t="shared" si="51"/>
        <v>1</v>
      </c>
    </row>
    <row r="782" spans="1:13" x14ac:dyDescent="0.2">
      <c r="A782" s="9">
        <v>43517</v>
      </c>
      <c r="B782">
        <f t="shared" si="48"/>
        <v>21</v>
      </c>
      <c r="C782">
        <f t="shared" si="49"/>
        <v>2</v>
      </c>
      <c r="D782">
        <f t="shared" si="50"/>
        <v>2019</v>
      </c>
      <c r="E782" s="11">
        <v>3.1309999999999998</v>
      </c>
      <c r="F782" s="11">
        <v>101.54900000000001</v>
      </c>
      <c r="G782" s="11">
        <v>27.4</v>
      </c>
      <c r="H782" s="1" t="s">
        <v>0</v>
      </c>
      <c r="I782">
        <v>25.9</v>
      </c>
      <c r="J782" t="s">
        <v>6</v>
      </c>
      <c r="K782" t="s">
        <v>6</v>
      </c>
      <c r="L782">
        <v>29</v>
      </c>
      <c r="M782">
        <f t="shared" si="51"/>
        <v>1</v>
      </c>
    </row>
    <row r="783" spans="1:13" x14ac:dyDescent="0.2">
      <c r="A783" s="9">
        <v>43518</v>
      </c>
      <c r="B783">
        <f t="shared" si="48"/>
        <v>22</v>
      </c>
      <c r="C783">
        <f t="shared" si="49"/>
        <v>2</v>
      </c>
      <c r="D783">
        <f t="shared" si="50"/>
        <v>2019</v>
      </c>
      <c r="E783" s="11">
        <v>3.1309999999999998</v>
      </c>
      <c r="F783" s="11">
        <v>101.54900000000001</v>
      </c>
      <c r="G783" s="11">
        <v>27.4</v>
      </c>
      <c r="H783" s="1" t="s">
        <v>0</v>
      </c>
      <c r="I783">
        <v>0</v>
      </c>
      <c r="J783" t="s">
        <v>6</v>
      </c>
      <c r="K783" t="s">
        <v>6</v>
      </c>
      <c r="L783">
        <v>29.2</v>
      </c>
      <c r="M783">
        <f t="shared" si="51"/>
        <v>0</v>
      </c>
    </row>
    <row r="784" spans="1:13" x14ac:dyDescent="0.2">
      <c r="A784" s="9">
        <v>43519</v>
      </c>
      <c r="B784">
        <f t="shared" si="48"/>
        <v>23</v>
      </c>
      <c r="C784">
        <f t="shared" si="49"/>
        <v>2</v>
      </c>
      <c r="D784">
        <f t="shared" si="50"/>
        <v>2019</v>
      </c>
      <c r="E784" s="11">
        <v>3.1309999999999998</v>
      </c>
      <c r="F784" s="11">
        <v>101.54900000000001</v>
      </c>
      <c r="G784" s="11">
        <v>27.4</v>
      </c>
      <c r="H784" s="1" t="s">
        <v>0</v>
      </c>
      <c r="I784">
        <v>0</v>
      </c>
      <c r="J784" t="s">
        <v>6</v>
      </c>
      <c r="K784">
        <v>24.9</v>
      </c>
      <c r="L784">
        <v>29.3</v>
      </c>
      <c r="M784">
        <f t="shared" si="51"/>
        <v>0</v>
      </c>
    </row>
    <row r="785" spans="1:13" x14ac:dyDescent="0.2">
      <c r="A785" s="9">
        <v>43520</v>
      </c>
      <c r="B785">
        <f t="shared" si="48"/>
        <v>24</v>
      </c>
      <c r="C785">
        <f t="shared" si="49"/>
        <v>2</v>
      </c>
      <c r="D785">
        <f t="shared" si="50"/>
        <v>2019</v>
      </c>
      <c r="E785" s="11">
        <v>3.1309999999999998</v>
      </c>
      <c r="F785" s="11">
        <v>101.54900000000001</v>
      </c>
      <c r="G785" s="11">
        <v>27.4</v>
      </c>
      <c r="H785" s="1" t="s">
        <v>0</v>
      </c>
      <c r="I785">
        <v>0</v>
      </c>
      <c r="J785" t="s">
        <v>6</v>
      </c>
      <c r="K785" t="s">
        <v>6</v>
      </c>
      <c r="L785">
        <v>28.9</v>
      </c>
      <c r="M785">
        <f t="shared" si="51"/>
        <v>0</v>
      </c>
    </row>
    <row r="786" spans="1:13" x14ac:dyDescent="0.2">
      <c r="A786" s="9">
        <v>43521</v>
      </c>
      <c r="B786">
        <f t="shared" si="48"/>
        <v>25</v>
      </c>
      <c r="C786">
        <f t="shared" si="49"/>
        <v>2</v>
      </c>
      <c r="D786">
        <f t="shared" si="50"/>
        <v>2019</v>
      </c>
      <c r="E786" s="11">
        <v>3.1309999999999998</v>
      </c>
      <c r="F786" s="11">
        <v>101.54900000000001</v>
      </c>
      <c r="G786" s="11">
        <v>27.4</v>
      </c>
      <c r="H786" s="1" t="s">
        <v>0</v>
      </c>
      <c r="I786">
        <v>4.0999999999999996</v>
      </c>
      <c r="J786" t="s">
        <v>6</v>
      </c>
      <c r="K786" t="s">
        <v>6</v>
      </c>
      <c r="L786">
        <v>29.3</v>
      </c>
      <c r="M786">
        <f t="shared" si="51"/>
        <v>1</v>
      </c>
    </row>
    <row r="787" spans="1:13" x14ac:dyDescent="0.2">
      <c r="A787" s="9">
        <v>43522</v>
      </c>
      <c r="B787">
        <f t="shared" si="48"/>
        <v>26</v>
      </c>
      <c r="C787">
        <f t="shared" si="49"/>
        <v>2</v>
      </c>
      <c r="D787">
        <f t="shared" si="50"/>
        <v>2019</v>
      </c>
      <c r="E787" s="11">
        <v>3.1309999999999998</v>
      </c>
      <c r="F787" s="11">
        <v>101.54900000000001</v>
      </c>
      <c r="G787" s="11">
        <v>27.4</v>
      </c>
      <c r="H787" s="1" t="s">
        <v>0</v>
      </c>
      <c r="I787">
        <v>0</v>
      </c>
      <c r="J787">
        <v>34.299999999999997</v>
      </c>
      <c r="K787">
        <v>24.2</v>
      </c>
      <c r="L787">
        <v>30</v>
      </c>
      <c r="M787">
        <f t="shared" si="51"/>
        <v>0</v>
      </c>
    </row>
    <row r="788" spans="1:13" x14ac:dyDescent="0.2">
      <c r="A788" s="9">
        <v>43523</v>
      </c>
      <c r="B788">
        <f t="shared" si="48"/>
        <v>27</v>
      </c>
      <c r="C788">
        <f t="shared" si="49"/>
        <v>2</v>
      </c>
      <c r="D788">
        <f t="shared" si="50"/>
        <v>2019</v>
      </c>
      <c r="E788" s="11">
        <v>3.1309999999999998</v>
      </c>
      <c r="F788" s="11">
        <v>101.54900000000001</v>
      </c>
      <c r="G788" s="11">
        <v>27.4</v>
      </c>
      <c r="H788" s="1" t="s">
        <v>0</v>
      </c>
      <c r="I788">
        <v>0</v>
      </c>
      <c r="J788">
        <v>35.1</v>
      </c>
      <c r="K788">
        <v>24.6</v>
      </c>
      <c r="L788">
        <v>29.5</v>
      </c>
      <c r="M788">
        <f t="shared" si="51"/>
        <v>0</v>
      </c>
    </row>
    <row r="789" spans="1:13" x14ac:dyDescent="0.2">
      <c r="A789" s="9">
        <v>43524</v>
      </c>
      <c r="B789">
        <f t="shared" si="48"/>
        <v>28</v>
      </c>
      <c r="C789">
        <f t="shared" si="49"/>
        <v>2</v>
      </c>
      <c r="D789">
        <f t="shared" si="50"/>
        <v>2019</v>
      </c>
      <c r="E789" s="11">
        <v>3.1309999999999998</v>
      </c>
      <c r="F789" s="11">
        <v>101.54900000000001</v>
      </c>
      <c r="G789" s="11">
        <v>27.4</v>
      </c>
      <c r="H789" s="1" t="s">
        <v>0</v>
      </c>
      <c r="I789">
        <v>0.3</v>
      </c>
      <c r="J789">
        <v>34.700000000000003</v>
      </c>
      <c r="K789">
        <v>25.5</v>
      </c>
      <c r="L789">
        <v>28.1</v>
      </c>
      <c r="M789">
        <f t="shared" si="51"/>
        <v>1</v>
      </c>
    </row>
    <row r="790" spans="1:13" x14ac:dyDescent="0.2">
      <c r="A790" s="9">
        <v>43525</v>
      </c>
      <c r="B790">
        <f t="shared" si="48"/>
        <v>1</v>
      </c>
      <c r="C790">
        <f t="shared" si="49"/>
        <v>3</v>
      </c>
      <c r="D790">
        <f t="shared" si="50"/>
        <v>2019</v>
      </c>
      <c r="E790" s="11">
        <v>3.1309999999999998</v>
      </c>
      <c r="F790" s="11">
        <v>101.54900000000001</v>
      </c>
      <c r="G790" s="11">
        <v>27.4</v>
      </c>
      <c r="H790" s="1" t="s">
        <v>0</v>
      </c>
      <c r="I790">
        <v>9.9</v>
      </c>
      <c r="J790">
        <v>34.200000000000003</v>
      </c>
      <c r="K790" t="s">
        <v>6</v>
      </c>
      <c r="L790">
        <v>28.1</v>
      </c>
      <c r="M790">
        <f t="shared" si="51"/>
        <v>1</v>
      </c>
    </row>
    <row r="791" spans="1:13" x14ac:dyDescent="0.2">
      <c r="A791" s="9">
        <v>43526</v>
      </c>
      <c r="B791">
        <f t="shared" si="48"/>
        <v>2</v>
      </c>
      <c r="C791">
        <f t="shared" si="49"/>
        <v>3</v>
      </c>
      <c r="D791">
        <f t="shared" si="50"/>
        <v>2019</v>
      </c>
      <c r="E791" s="11">
        <v>3.1309999999999998</v>
      </c>
      <c r="F791" s="11">
        <v>101.54900000000001</v>
      </c>
      <c r="G791" s="11">
        <v>27.4</v>
      </c>
      <c r="H791" s="1" t="s">
        <v>0</v>
      </c>
      <c r="I791">
        <v>11.2</v>
      </c>
      <c r="J791">
        <v>34.4</v>
      </c>
      <c r="K791">
        <v>24.9</v>
      </c>
      <c r="L791">
        <v>29.4</v>
      </c>
      <c r="M791">
        <f t="shared" si="51"/>
        <v>1</v>
      </c>
    </row>
    <row r="792" spans="1:13" x14ac:dyDescent="0.2">
      <c r="A792" s="9">
        <v>43527</v>
      </c>
      <c r="B792">
        <f t="shared" si="48"/>
        <v>3</v>
      </c>
      <c r="C792">
        <f t="shared" si="49"/>
        <v>3</v>
      </c>
      <c r="D792">
        <f t="shared" si="50"/>
        <v>2019</v>
      </c>
      <c r="E792" s="11">
        <v>3.1309999999999998</v>
      </c>
      <c r="F792" s="11">
        <v>101.54900000000001</v>
      </c>
      <c r="G792" s="11">
        <v>27.4</v>
      </c>
      <c r="H792" s="1" t="s">
        <v>0</v>
      </c>
      <c r="I792">
        <v>0</v>
      </c>
      <c r="J792">
        <v>35</v>
      </c>
      <c r="K792">
        <v>25.3</v>
      </c>
      <c r="L792">
        <v>29.6</v>
      </c>
      <c r="M792">
        <f t="shared" si="51"/>
        <v>0</v>
      </c>
    </row>
    <row r="793" spans="1:13" x14ac:dyDescent="0.2">
      <c r="A793" s="9">
        <v>43528</v>
      </c>
      <c r="B793">
        <f t="shared" si="48"/>
        <v>4</v>
      </c>
      <c r="C793">
        <f t="shared" si="49"/>
        <v>3</v>
      </c>
      <c r="D793">
        <f t="shared" si="50"/>
        <v>2019</v>
      </c>
      <c r="E793" s="11">
        <v>3.1309999999999998</v>
      </c>
      <c r="F793" s="11">
        <v>101.54900000000001</v>
      </c>
      <c r="G793" s="11">
        <v>27.4</v>
      </c>
      <c r="H793" s="1" t="s">
        <v>0</v>
      </c>
      <c r="I793">
        <v>0</v>
      </c>
      <c r="J793">
        <v>34.200000000000003</v>
      </c>
      <c r="K793">
        <v>25.6</v>
      </c>
      <c r="L793">
        <v>29.7</v>
      </c>
      <c r="M793">
        <f t="shared" si="51"/>
        <v>0</v>
      </c>
    </row>
    <row r="794" spans="1:13" x14ac:dyDescent="0.2">
      <c r="A794" s="9">
        <v>43529</v>
      </c>
      <c r="B794">
        <f t="shared" si="48"/>
        <v>5</v>
      </c>
      <c r="C794">
        <f t="shared" si="49"/>
        <v>3</v>
      </c>
      <c r="D794">
        <f t="shared" si="50"/>
        <v>2019</v>
      </c>
      <c r="E794" s="11">
        <v>3.1309999999999998</v>
      </c>
      <c r="F794" s="11">
        <v>101.54900000000001</v>
      </c>
      <c r="G794" s="11">
        <v>27.4</v>
      </c>
      <c r="H794" s="1" t="s">
        <v>0</v>
      </c>
      <c r="I794">
        <v>0</v>
      </c>
      <c r="J794">
        <v>34.5</v>
      </c>
      <c r="K794" t="s">
        <v>6</v>
      </c>
      <c r="L794">
        <v>29.6</v>
      </c>
      <c r="M794">
        <f t="shared" si="51"/>
        <v>0</v>
      </c>
    </row>
    <row r="795" spans="1:13" x14ac:dyDescent="0.2">
      <c r="A795" s="9">
        <v>43530</v>
      </c>
      <c r="B795">
        <f t="shared" si="48"/>
        <v>6</v>
      </c>
      <c r="C795">
        <f t="shared" si="49"/>
        <v>3</v>
      </c>
      <c r="D795">
        <f t="shared" si="50"/>
        <v>2019</v>
      </c>
      <c r="E795" s="11">
        <v>3.1309999999999998</v>
      </c>
      <c r="F795" s="11">
        <v>101.54900000000001</v>
      </c>
      <c r="G795" s="11">
        <v>27.4</v>
      </c>
      <c r="H795" s="1" t="s">
        <v>0</v>
      </c>
      <c r="I795">
        <v>0</v>
      </c>
      <c r="J795">
        <v>36.6</v>
      </c>
      <c r="K795">
        <v>25.1</v>
      </c>
      <c r="L795">
        <v>30.4</v>
      </c>
      <c r="M795">
        <f t="shared" si="51"/>
        <v>0</v>
      </c>
    </row>
    <row r="796" spans="1:13" x14ac:dyDescent="0.2">
      <c r="A796" s="9">
        <v>43531</v>
      </c>
      <c r="B796">
        <f t="shared" si="48"/>
        <v>7</v>
      </c>
      <c r="C796">
        <f t="shared" si="49"/>
        <v>3</v>
      </c>
      <c r="D796">
        <f t="shared" si="50"/>
        <v>2019</v>
      </c>
      <c r="E796" s="11">
        <v>3.1309999999999998</v>
      </c>
      <c r="F796" s="11">
        <v>101.54900000000001</v>
      </c>
      <c r="G796" s="11">
        <v>27.4</v>
      </c>
      <c r="H796" s="1" t="s">
        <v>0</v>
      </c>
      <c r="I796">
        <v>0</v>
      </c>
      <c r="J796">
        <v>33.4</v>
      </c>
      <c r="K796">
        <v>25.5</v>
      </c>
      <c r="L796">
        <v>28.7</v>
      </c>
      <c r="M796">
        <f t="shared" si="51"/>
        <v>0</v>
      </c>
    </row>
    <row r="797" spans="1:13" x14ac:dyDescent="0.2">
      <c r="A797" s="9">
        <v>43532</v>
      </c>
      <c r="B797">
        <f t="shared" si="48"/>
        <v>8</v>
      </c>
      <c r="C797">
        <f t="shared" si="49"/>
        <v>3</v>
      </c>
      <c r="D797">
        <f t="shared" si="50"/>
        <v>2019</v>
      </c>
      <c r="E797" s="11">
        <v>3.1309999999999998</v>
      </c>
      <c r="F797" s="11">
        <v>101.54900000000001</v>
      </c>
      <c r="G797" s="11">
        <v>27.4</v>
      </c>
      <c r="H797" s="1" t="s">
        <v>0</v>
      </c>
      <c r="I797">
        <v>0.3</v>
      </c>
      <c r="J797" t="s">
        <v>6</v>
      </c>
      <c r="K797" t="s">
        <v>6</v>
      </c>
      <c r="L797">
        <v>27.9</v>
      </c>
      <c r="M797">
        <f t="shared" si="51"/>
        <v>1</v>
      </c>
    </row>
    <row r="798" spans="1:13" x14ac:dyDescent="0.2">
      <c r="A798" s="9">
        <v>43533</v>
      </c>
      <c r="B798">
        <f t="shared" si="48"/>
        <v>9</v>
      </c>
      <c r="C798">
        <f t="shared" si="49"/>
        <v>3</v>
      </c>
      <c r="D798">
        <f t="shared" si="50"/>
        <v>2019</v>
      </c>
      <c r="E798" s="11">
        <v>3.1309999999999998</v>
      </c>
      <c r="F798" s="11">
        <v>101.54900000000001</v>
      </c>
      <c r="G798" s="11">
        <v>27.4</v>
      </c>
      <c r="H798" s="1" t="s">
        <v>0</v>
      </c>
      <c r="I798">
        <v>18.8</v>
      </c>
      <c r="J798" t="s">
        <v>6</v>
      </c>
      <c r="K798">
        <v>23.4</v>
      </c>
      <c r="L798">
        <v>28.2</v>
      </c>
      <c r="M798">
        <f t="shared" si="51"/>
        <v>1</v>
      </c>
    </row>
    <row r="799" spans="1:13" x14ac:dyDescent="0.2">
      <c r="A799" s="9">
        <v>43534</v>
      </c>
      <c r="B799">
        <f t="shared" si="48"/>
        <v>10</v>
      </c>
      <c r="C799">
        <f t="shared" si="49"/>
        <v>3</v>
      </c>
      <c r="D799">
        <f t="shared" si="50"/>
        <v>2019</v>
      </c>
      <c r="E799" s="11">
        <v>3.1309999999999998</v>
      </c>
      <c r="F799" s="11">
        <v>101.54900000000001</v>
      </c>
      <c r="G799" s="11">
        <v>27.4</v>
      </c>
      <c r="H799" s="1" t="s">
        <v>0</v>
      </c>
      <c r="I799">
        <v>19.100000000000001</v>
      </c>
      <c r="J799" t="s">
        <v>6</v>
      </c>
      <c r="K799" t="s">
        <v>6</v>
      </c>
      <c r="L799">
        <v>26.7</v>
      </c>
      <c r="M799">
        <f t="shared" si="51"/>
        <v>1</v>
      </c>
    </row>
    <row r="800" spans="1:13" x14ac:dyDescent="0.2">
      <c r="A800" s="9">
        <v>43535</v>
      </c>
      <c r="B800">
        <f t="shared" si="48"/>
        <v>11</v>
      </c>
      <c r="C800">
        <f t="shared" si="49"/>
        <v>3</v>
      </c>
      <c r="D800">
        <f t="shared" si="50"/>
        <v>2019</v>
      </c>
      <c r="E800" s="11">
        <v>3.1309999999999998</v>
      </c>
      <c r="F800" s="11">
        <v>101.54900000000001</v>
      </c>
      <c r="G800" s="11">
        <v>27.4</v>
      </c>
      <c r="H800" s="1" t="s">
        <v>0</v>
      </c>
      <c r="I800">
        <v>47</v>
      </c>
      <c r="J800">
        <v>34.4</v>
      </c>
      <c r="K800">
        <v>22</v>
      </c>
      <c r="L800">
        <v>28.6</v>
      </c>
      <c r="M800">
        <f t="shared" si="51"/>
        <v>1</v>
      </c>
    </row>
    <row r="801" spans="1:13" x14ac:dyDescent="0.2">
      <c r="A801" s="9">
        <v>43536</v>
      </c>
      <c r="B801">
        <f t="shared" si="48"/>
        <v>12</v>
      </c>
      <c r="C801">
        <f t="shared" si="49"/>
        <v>3</v>
      </c>
      <c r="D801">
        <f t="shared" si="50"/>
        <v>2019</v>
      </c>
      <c r="E801" s="11">
        <v>3.1309999999999998</v>
      </c>
      <c r="F801" s="11">
        <v>101.54900000000001</v>
      </c>
      <c r="G801" s="11">
        <v>27.4</v>
      </c>
      <c r="H801" s="1" t="s">
        <v>0</v>
      </c>
      <c r="I801">
        <v>13.5</v>
      </c>
      <c r="J801">
        <v>35.1</v>
      </c>
      <c r="K801">
        <v>23.3</v>
      </c>
      <c r="L801">
        <v>29.4</v>
      </c>
      <c r="M801">
        <f t="shared" si="51"/>
        <v>1</v>
      </c>
    </row>
    <row r="802" spans="1:13" x14ac:dyDescent="0.2">
      <c r="A802" s="9">
        <v>43537</v>
      </c>
      <c r="B802">
        <f t="shared" si="48"/>
        <v>13</v>
      </c>
      <c r="C802">
        <f t="shared" si="49"/>
        <v>3</v>
      </c>
      <c r="D802">
        <f t="shared" si="50"/>
        <v>2019</v>
      </c>
      <c r="E802" s="11">
        <v>3.1309999999999998</v>
      </c>
      <c r="F802" s="11">
        <v>101.54900000000001</v>
      </c>
      <c r="G802" s="11">
        <v>27.4</v>
      </c>
      <c r="H802" s="1" t="s">
        <v>0</v>
      </c>
      <c r="I802">
        <v>0</v>
      </c>
      <c r="J802" t="s">
        <v>6</v>
      </c>
      <c r="K802">
        <v>24.1</v>
      </c>
      <c r="L802">
        <v>30.1</v>
      </c>
      <c r="M802">
        <f t="shared" si="51"/>
        <v>0</v>
      </c>
    </row>
    <row r="803" spans="1:13" x14ac:dyDescent="0.2">
      <c r="A803" s="9">
        <v>43538</v>
      </c>
      <c r="B803">
        <f t="shared" si="48"/>
        <v>14</v>
      </c>
      <c r="C803">
        <f t="shared" si="49"/>
        <v>3</v>
      </c>
      <c r="D803">
        <f t="shared" si="50"/>
        <v>2019</v>
      </c>
      <c r="E803" s="11">
        <v>3.1309999999999998</v>
      </c>
      <c r="F803" s="11">
        <v>101.54900000000001</v>
      </c>
      <c r="G803" s="11">
        <v>27.4</v>
      </c>
      <c r="H803" s="1" t="s">
        <v>0</v>
      </c>
      <c r="I803">
        <v>0</v>
      </c>
      <c r="J803" t="s">
        <v>6</v>
      </c>
      <c r="K803" t="s">
        <v>6</v>
      </c>
      <c r="L803">
        <v>29.9</v>
      </c>
      <c r="M803">
        <f t="shared" si="51"/>
        <v>0</v>
      </c>
    </row>
    <row r="804" spans="1:13" x14ac:dyDescent="0.2">
      <c r="A804" s="9">
        <v>43539</v>
      </c>
      <c r="B804">
        <f t="shared" si="48"/>
        <v>15</v>
      </c>
      <c r="C804">
        <f t="shared" si="49"/>
        <v>3</v>
      </c>
      <c r="D804">
        <f t="shared" si="50"/>
        <v>2019</v>
      </c>
      <c r="E804" s="11">
        <v>3.1309999999999998</v>
      </c>
      <c r="F804" s="11">
        <v>101.54900000000001</v>
      </c>
      <c r="G804" s="11">
        <v>27.4</v>
      </c>
      <c r="H804" s="1" t="s">
        <v>0</v>
      </c>
      <c r="I804">
        <v>0</v>
      </c>
      <c r="J804">
        <v>36.1</v>
      </c>
      <c r="K804">
        <v>25</v>
      </c>
      <c r="L804">
        <v>29.7</v>
      </c>
      <c r="M804">
        <f t="shared" si="51"/>
        <v>0</v>
      </c>
    </row>
    <row r="805" spans="1:13" x14ac:dyDescent="0.2">
      <c r="A805" s="9">
        <v>43540</v>
      </c>
      <c r="B805">
        <f t="shared" si="48"/>
        <v>16</v>
      </c>
      <c r="C805">
        <f t="shared" si="49"/>
        <v>3</v>
      </c>
      <c r="D805">
        <f t="shared" si="50"/>
        <v>2019</v>
      </c>
      <c r="E805" s="11">
        <v>3.1309999999999998</v>
      </c>
      <c r="F805" s="11">
        <v>101.54900000000001</v>
      </c>
      <c r="G805" s="11">
        <v>27.4</v>
      </c>
      <c r="H805" s="1" t="s">
        <v>0</v>
      </c>
      <c r="I805">
        <v>0</v>
      </c>
      <c r="J805" t="s">
        <v>6</v>
      </c>
      <c r="K805">
        <v>24.9</v>
      </c>
      <c r="L805">
        <v>29.8</v>
      </c>
      <c r="M805">
        <f t="shared" si="51"/>
        <v>0</v>
      </c>
    </row>
    <row r="806" spans="1:13" x14ac:dyDescent="0.2">
      <c r="A806" s="9">
        <v>43541</v>
      </c>
      <c r="B806">
        <f t="shared" si="48"/>
        <v>17</v>
      </c>
      <c r="C806">
        <f t="shared" si="49"/>
        <v>3</v>
      </c>
      <c r="D806">
        <f t="shared" si="50"/>
        <v>2019</v>
      </c>
      <c r="E806" s="11">
        <v>3.1309999999999998</v>
      </c>
      <c r="F806" s="11">
        <v>101.54900000000001</v>
      </c>
      <c r="G806" s="11">
        <v>27.4</v>
      </c>
      <c r="H806" s="1" t="s">
        <v>0</v>
      </c>
      <c r="I806">
        <v>0</v>
      </c>
      <c r="J806">
        <v>36.4</v>
      </c>
      <c r="K806" t="s">
        <v>6</v>
      </c>
      <c r="L806">
        <v>30.2</v>
      </c>
      <c r="M806">
        <f t="shared" si="51"/>
        <v>0</v>
      </c>
    </row>
    <row r="807" spans="1:13" x14ac:dyDescent="0.2">
      <c r="A807" s="9">
        <v>43542</v>
      </c>
      <c r="B807">
        <f t="shared" si="48"/>
        <v>18</v>
      </c>
      <c r="C807">
        <f t="shared" si="49"/>
        <v>3</v>
      </c>
      <c r="D807">
        <f t="shared" si="50"/>
        <v>2019</v>
      </c>
      <c r="E807" s="11">
        <v>3.1309999999999998</v>
      </c>
      <c r="F807" s="11">
        <v>101.54900000000001</v>
      </c>
      <c r="G807" s="11">
        <v>27.4</v>
      </c>
      <c r="H807" s="1" t="s">
        <v>0</v>
      </c>
      <c r="I807">
        <v>0</v>
      </c>
      <c r="J807">
        <v>36.5</v>
      </c>
      <c r="K807">
        <v>25.3</v>
      </c>
      <c r="L807">
        <v>29.4</v>
      </c>
      <c r="M807">
        <f t="shared" si="51"/>
        <v>0</v>
      </c>
    </row>
    <row r="808" spans="1:13" x14ac:dyDescent="0.2">
      <c r="A808" s="9">
        <v>43543</v>
      </c>
      <c r="B808">
        <f t="shared" si="48"/>
        <v>19</v>
      </c>
      <c r="C808">
        <f t="shared" si="49"/>
        <v>3</v>
      </c>
      <c r="D808">
        <f t="shared" si="50"/>
        <v>2019</v>
      </c>
      <c r="E808" s="11">
        <v>3.1309999999999998</v>
      </c>
      <c r="F808" s="11">
        <v>101.54900000000001</v>
      </c>
      <c r="G808" s="11">
        <v>27.4</v>
      </c>
      <c r="H808" s="1" t="s">
        <v>0</v>
      </c>
      <c r="I808">
        <v>2.2999999999999998</v>
      </c>
      <c r="J808">
        <v>36.299999999999997</v>
      </c>
      <c r="K808">
        <v>25.4</v>
      </c>
      <c r="L808">
        <v>31.1</v>
      </c>
      <c r="M808">
        <f t="shared" si="51"/>
        <v>1</v>
      </c>
    </row>
    <row r="809" spans="1:13" x14ac:dyDescent="0.2">
      <c r="A809" s="9">
        <v>43544</v>
      </c>
      <c r="B809">
        <f t="shared" si="48"/>
        <v>20</v>
      </c>
      <c r="C809">
        <f t="shared" si="49"/>
        <v>3</v>
      </c>
      <c r="D809">
        <f t="shared" si="50"/>
        <v>2019</v>
      </c>
      <c r="E809" s="11">
        <v>3.1309999999999998</v>
      </c>
      <c r="F809" s="11">
        <v>101.54900000000001</v>
      </c>
      <c r="G809" s="11">
        <v>27.4</v>
      </c>
      <c r="H809" s="1" t="s">
        <v>0</v>
      </c>
      <c r="I809">
        <v>0</v>
      </c>
      <c r="J809">
        <v>35.700000000000003</v>
      </c>
      <c r="K809">
        <v>26.1</v>
      </c>
      <c r="L809">
        <v>30.2</v>
      </c>
      <c r="M809">
        <f t="shared" si="51"/>
        <v>0</v>
      </c>
    </row>
    <row r="810" spans="1:13" x14ac:dyDescent="0.2">
      <c r="A810" s="9">
        <v>43545</v>
      </c>
      <c r="B810">
        <f t="shared" si="48"/>
        <v>21</v>
      </c>
      <c r="C810">
        <f t="shared" si="49"/>
        <v>3</v>
      </c>
      <c r="D810">
        <f t="shared" si="50"/>
        <v>2019</v>
      </c>
      <c r="E810" s="11">
        <v>3.1309999999999998</v>
      </c>
      <c r="F810" s="11">
        <v>101.54900000000001</v>
      </c>
      <c r="G810" s="11">
        <v>27.4</v>
      </c>
      <c r="H810" s="1" t="s">
        <v>0</v>
      </c>
      <c r="I810">
        <v>0</v>
      </c>
      <c r="J810">
        <v>33.1</v>
      </c>
      <c r="K810" t="s">
        <v>6</v>
      </c>
      <c r="L810">
        <v>27.6</v>
      </c>
      <c r="M810">
        <f t="shared" si="51"/>
        <v>0</v>
      </c>
    </row>
    <row r="811" spans="1:13" x14ac:dyDescent="0.2">
      <c r="A811" s="9">
        <v>43546</v>
      </c>
      <c r="B811">
        <f t="shared" si="48"/>
        <v>22</v>
      </c>
      <c r="C811">
        <f t="shared" si="49"/>
        <v>3</v>
      </c>
      <c r="D811">
        <f t="shared" si="50"/>
        <v>2019</v>
      </c>
      <c r="E811" s="11">
        <v>3.1309999999999998</v>
      </c>
      <c r="F811" s="11">
        <v>101.54900000000001</v>
      </c>
      <c r="G811" s="11">
        <v>27.4</v>
      </c>
      <c r="H811" s="1" t="s">
        <v>0</v>
      </c>
      <c r="I811">
        <v>1.5</v>
      </c>
      <c r="J811">
        <v>35.700000000000003</v>
      </c>
      <c r="K811">
        <v>25.2</v>
      </c>
      <c r="L811">
        <v>30.1</v>
      </c>
      <c r="M811">
        <f t="shared" si="51"/>
        <v>1</v>
      </c>
    </row>
    <row r="812" spans="1:13" x14ac:dyDescent="0.2">
      <c r="A812" s="9">
        <v>43547</v>
      </c>
      <c r="B812">
        <f t="shared" si="48"/>
        <v>23</v>
      </c>
      <c r="C812">
        <f t="shared" si="49"/>
        <v>3</v>
      </c>
      <c r="D812">
        <f t="shared" si="50"/>
        <v>2019</v>
      </c>
      <c r="E812" s="11">
        <v>3.1309999999999998</v>
      </c>
      <c r="F812" s="11">
        <v>101.54900000000001</v>
      </c>
      <c r="G812" s="11">
        <v>27.4</v>
      </c>
      <c r="H812" s="1" t="s">
        <v>0</v>
      </c>
      <c r="I812">
        <v>0</v>
      </c>
      <c r="J812" t="s">
        <v>6</v>
      </c>
      <c r="K812">
        <v>25.7</v>
      </c>
      <c r="L812">
        <v>29.3</v>
      </c>
      <c r="M812">
        <f t="shared" si="51"/>
        <v>0</v>
      </c>
    </row>
    <row r="813" spans="1:13" x14ac:dyDescent="0.2">
      <c r="A813" s="9">
        <v>43548</v>
      </c>
      <c r="B813">
        <f t="shared" si="48"/>
        <v>24</v>
      </c>
      <c r="C813">
        <f t="shared" si="49"/>
        <v>3</v>
      </c>
      <c r="D813">
        <f t="shared" si="50"/>
        <v>2019</v>
      </c>
      <c r="E813" s="11">
        <v>3.1309999999999998</v>
      </c>
      <c r="F813" s="11">
        <v>101.54900000000001</v>
      </c>
      <c r="G813" s="11">
        <v>27.4</v>
      </c>
      <c r="H813" s="1" t="s">
        <v>0</v>
      </c>
      <c r="I813">
        <v>0</v>
      </c>
      <c r="J813" t="s">
        <v>6</v>
      </c>
      <c r="K813" t="s">
        <v>6</v>
      </c>
      <c r="L813">
        <v>27.8</v>
      </c>
      <c r="M813">
        <f t="shared" si="51"/>
        <v>0</v>
      </c>
    </row>
    <row r="814" spans="1:13" x14ac:dyDescent="0.2">
      <c r="A814" s="9">
        <v>43549</v>
      </c>
      <c r="B814">
        <f t="shared" si="48"/>
        <v>25</v>
      </c>
      <c r="C814">
        <f t="shared" si="49"/>
        <v>3</v>
      </c>
      <c r="D814">
        <f t="shared" si="50"/>
        <v>2019</v>
      </c>
      <c r="E814" s="11">
        <v>3.1309999999999998</v>
      </c>
      <c r="F814" s="11">
        <v>101.54900000000001</v>
      </c>
      <c r="G814" s="11">
        <v>27.4</v>
      </c>
      <c r="H814" s="1" t="s">
        <v>0</v>
      </c>
      <c r="I814">
        <v>2.2999999999999998</v>
      </c>
      <c r="J814">
        <v>35.4</v>
      </c>
      <c r="K814">
        <v>24.9</v>
      </c>
      <c r="L814">
        <v>28</v>
      </c>
      <c r="M814">
        <f t="shared" si="51"/>
        <v>1</v>
      </c>
    </row>
    <row r="815" spans="1:13" x14ac:dyDescent="0.2">
      <c r="A815" s="9">
        <v>43550</v>
      </c>
      <c r="B815">
        <f t="shared" si="48"/>
        <v>26</v>
      </c>
      <c r="C815">
        <f t="shared" si="49"/>
        <v>3</v>
      </c>
      <c r="D815">
        <f t="shared" si="50"/>
        <v>2019</v>
      </c>
      <c r="E815" s="11">
        <v>3.1309999999999998</v>
      </c>
      <c r="F815" s="11">
        <v>101.54900000000001</v>
      </c>
      <c r="G815" s="11">
        <v>27.4</v>
      </c>
      <c r="H815" s="1" t="s">
        <v>0</v>
      </c>
      <c r="I815">
        <v>0.3</v>
      </c>
      <c r="J815">
        <v>36.1</v>
      </c>
      <c r="K815">
        <v>25.5</v>
      </c>
      <c r="L815">
        <v>29.9</v>
      </c>
      <c r="M815">
        <f t="shared" si="51"/>
        <v>1</v>
      </c>
    </row>
    <row r="816" spans="1:13" x14ac:dyDescent="0.2">
      <c r="A816" s="9">
        <v>43551</v>
      </c>
      <c r="B816">
        <f t="shared" si="48"/>
        <v>27</v>
      </c>
      <c r="C816">
        <f t="shared" si="49"/>
        <v>3</v>
      </c>
      <c r="D816">
        <f t="shared" si="50"/>
        <v>2019</v>
      </c>
      <c r="E816" s="11">
        <v>3.1309999999999998</v>
      </c>
      <c r="F816" s="11">
        <v>101.54900000000001</v>
      </c>
      <c r="G816" s="11">
        <v>27.4</v>
      </c>
      <c r="H816" s="1" t="s">
        <v>0</v>
      </c>
      <c r="I816">
        <v>0</v>
      </c>
      <c r="J816">
        <v>35.799999999999997</v>
      </c>
      <c r="K816">
        <v>25.6</v>
      </c>
      <c r="L816">
        <v>28.9</v>
      </c>
      <c r="M816">
        <f t="shared" si="51"/>
        <v>0</v>
      </c>
    </row>
    <row r="817" spans="1:13" x14ac:dyDescent="0.2">
      <c r="A817" s="9">
        <v>43552</v>
      </c>
      <c r="B817">
        <f t="shared" si="48"/>
        <v>28</v>
      </c>
      <c r="C817">
        <f t="shared" si="49"/>
        <v>3</v>
      </c>
      <c r="D817">
        <f t="shared" si="50"/>
        <v>2019</v>
      </c>
      <c r="E817" s="11">
        <v>3.1309999999999998</v>
      </c>
      <c r="F817" s="11">
        <v>101.54900000000001</v>
      </c>
      <c r="G817" s="11">
        <v>27.4</v>
      </c>
      <c r="H817" s="1" t="s">
        <v>0</v>
      </c>
      <c r="I817">
        <v>18</v>
      </c>
      <c r="J817">
        <v>35.299999999999997</v>
      </c>
      <c r="K817" t="s">
        <v>6</v>
      </c>
      <c r="L817">
        <v>28.7</v>
      </c>
      <c r="M817">
        <f t="shared" si="51"/>
        <v>1</v>
      </c>
    </row>
    <row r="818" spans="1:13" x14ac:dyDescent="0.2">
      <c r="A818" s="9">
        <v>43553</v>
      </c>
      <c r="B818">
        <f t="shared" si="48"/>
        <v>29</v>
      </c>
      <c r="C818">
        <f t="shared" si="49"/>
        <v>3</v>
      </c>
      <c r="D818">
        <f t="shared" si="50"/>
        <v>2019</v>
      </c>
      <c r="E818" s="11">
        <v>3.1309999999999998</v>
      </c>
      <c r="F818" s="11">
        <v>101.54900000000001</v>
      </c>
      <c r="G818" s="11">
        <v>27.4</v>
      </c>
      <c r="H818" s="1" t="s">
        <v>0</v>
      </c>
      <c r="I818">
        <v>0.8</v>
      </c>
      <c r="J818">
        <v>35.1</v>
      </c>
      <c r="K818">
        <v>25.6</v>
      </c>
      <c r="L818">
        <v>28.5</v>
      </c>
      <c r="M818">
        <f t="shared" si="51"/>
        <v>1</v>
      </c>
    </row>
    <row r="819" spans="1:13" x14ac:dyDescent="0.2">
      <c r="A819" s="9">
        <v>43554</v>
      </c>
      <c r="B819">
        <f t="shared" si="48"/>
        <v>30</v>
      </c>
      <c r="C819">
        <f t="shared" si="49"/>
        <v>3</v>
      </c>
      <c r="D819">
        <f t="shared" si="50"/>
        <v>2019</v>
      </c>
      <c r="E819" s="11">
        <v>3.1309999999999998</v>
      </c>
      <c r="F819" s="11">
        <v>101.54900000000001</v>
      </c>
      <c r="G819" s="11">
        <v>27.4</v>
      </c>
      <c r="H819" s="1" t="s">
        <v>0</v>
      </c>
      <c r="I819">
        <v>0.3</v>
      </c>
      <c r="J819" t="s">
        <v>6</v>
      </c>
      <c r="K819" t="s">
        <v>6</v>
      </c>
      <c r="L819">
        <v>28.8</v>
      </c>
      <c r="M819">
        <f t="shared" si="51"/>
        <v>1</v>
      </c>
    </row>
    <row r="820" spans="1:13" x14ac:dyDescent="0.2">
      <c r="A820" s="9">
        <v>43555</v>
      </c>
      <c r="B820">
        <f t="shared" si="48"/>
        <v>31</v>
      </c>
      <c r="C820">
        <f t="shared" si="49"/>
        <v>3</v>
      </c>
      <c r="D820">
        <f t="shared" si="50"/>
        <v>2019</v>
      </c>
      <c r="E820" s="11">
        <v>3.1309999999999998</v>
      </c>
      <c r="F820" s="11">
        <v>101.54900000000001</v>
      </c>
      <c r="G820" s="11">
        <v>27.4</v>
      </c>
      <c r="H820" s="1" t="s">
        <v>0</v>
      </c>
      <c r="I820">
        <v>24.4</v>
      </c>
      <c r="J820">
        <v>34.4</v>
      </c>
      <c r="K820">
        <v>23.5</v>
      </c>
      <c r="L820">
        <v>28.5</v>
      </c>
      <c r="M820">
        <f t="shared" si="51"/>
        <v>1</v>
      </c>
    </row>
    <row r="821" spans="1:13" x14ac:dyDescent="0.2">
      <c r="A821" s="9">
        <v>43556</v>
      </c>
      <c r="B821">
        <f t="shared" si="48"/>
        <v>1</v>
      </c>
      <c r="C821">
        <f t="shared" si="49"/>
        <v>4</v>
      </c>
      <c r="D821">
        <f t="shared" si="50"/>
        <v>2019</v>
      </c>
      <c r="E821" s="11">
        <v>3.1309999999999998</v>
      </c>
      <c r="F821" s="11">
        <v>101.54900000000001</v>
      </c>
      <c r="G821" s="11">
        <v>27.4</v>
      </c>
      <c r="H821" s="1" t="s">
        <v>0</v>
      </c>
      <c r="I821">
        <v>1.8</v>
      </c>
      <c r="J821">
        <v>33.1</v>
      </c>
      <c r="K821">
        <v>24.6</v>
      </c>
      <c r="L821">
        <v>28.8</v>
      </c>
      <c r="M821">
        <f t="shared" si="51"/>
        <v>1</v>
      </c>
    </row>
    <row r="822" spans="1:13" x14ac:dyDescent="0.2">
      <c r="A822" s="9">
        <v>43557</v>
      </c>
      <c r="B822">
        <f t="shared" si="48"/>
        <v>2</v>
      </c>
      <c r="C822">
        <f t="shared" si="49"/>
        <v>4</v>
      </c>
      <c r="D822">
        <f t="shared" si="50"/>
        <v>2019</v>
      </c>
      <c r="E822" s="11">
        <v>3.1309999999999998</v>
      </c>
      <c r="F822" s="11">
        <v>101.54900000000001</v>
      </c>
      <c r="G822" s="11">
        <v>27.4</v>
      </c>
      <c r="H822" s="1" t="s">
        <v>0</v>
      </c>
      <c r="I822">
        <v>0</v>
      </c>
      <c r="J822">
        <v>34.4</v>
      </c>
      <c r="K822" t="s">
        <v>6</v>
      </c>
      <c r="L822">
        <v>27.6</v>
      </c>
      <c r="M822">
        <f t="shared" si="51"/>
        <v>0</v>
      </c>
    </row>
    <row r="823" spans="1:13" x14ac:dyDescent="0.2">
      <c r="A823" s="9">
        <v>43558</v>
      </c>
      <c r="B823">
        <f t="shared" si="48"/>
        <v>3</v>
      </c>
      <c r="C823">
        <f t="shared" si="49"/>
        <v>4</v>
      </c>
      <c r="D823">
        <f t="shared" si="50"/>
        <v>2019</v>
      </c>
      <c r="E823" s="11">
        <v>3.1309999999999998</v>
      </c>
      <c r="F823" s="11">
        <v>101.54900000000001</v>
      </c>
      <c r="G823" s="11">
        <v>27.4</v>
      </c>
      <c r="H823" s="1" t="s">
        <v>0</v>
      </c>
      <c r="I823">
        <v>44.5</v>
      </c>
      <c r="J823" t="s">
        <v>6</v>
      </c>
      <c r="K823" t="s">
        <v>6</v>
      </c>
      <c r="L823">
        <v>26.5</v>
      </c>
      <c r="M823">
        <f t="shared" si="51"/>
        <v>1</v>
      </c>
    </row>
    <row r="824" spans="1:13" x14ac:dyDescent="0.2">
      <c r="A824" s="9">
        <v>43559</v>
      </c>
      <c r="B824">
        <f t="shared" si="48"/>
        <v>4</v>
      </c>
      <c r="C824">
        <f t="shared" si="49"/>
        <v>4</v>
      </c>
      <c r="D824">
        <f t="shared" si="50"/>
        <v>2019</v>
      </c>
      <c r="E824" s="11">
        <v>3.1309999999999998</v>
      </c>
      <c r="F824" s="11">
        <v>101.54900000000001</v>
      </c>
      <c r="G824" s="11">
        <v>27.4</v>
      </c>
      <c r="H824" s="1" t="s">
        <v>0</v>
      </c>
      <c r="I824">
        <v>28.7</v>
      </c>
      <c r="J824">
        <v>34.200000000000003</v>
      </c>
      <c r="K824" t="s">
        <v>6</v>
      </c>
      <c r="L824">
        <v>26.9</v>
      </c>
      <c r="M824">
        <f t="shared" si="51"/>
        <v>1</v>
      </c>
    </row>
    <row r="825" spans="1:13" x14ac:dyDescent="0.2">
      <c r="A825" s="9">
        <v>43560</v>
      </c>
      <c r="B825">
        <f t="shared" si="48"/>
        <v>5</v>
      </c>
      <c r="C825">
        <f t="shared" si="49"/>
        <v>4</v>
      </c>
      <c r="D825">
        <f t="shared" si="50"/>
        <v>2019</v>
      </c>
      <c r="E825" s="11">
        <v>3.1309999999999998</v>
      </c>
      <c r="F825" s="11">
        <v>101.54900000000001</v>
      </c>
      <c r="G825" s="11">
        <v>27.4</v>
      </c>
      <c r="H825" s="1" t="s">
        <v>0</v>
      </c>
      <c r="I825">
        <v>45.7</v>
      </c>
      <c r="J825">
        <v>34.6</v>
      </c>
      <c r="K825">
        <v>23.7</v>
      </c>
      <c r="L825">
        <v>27.2</v>
      </c>
      <c r="M825">
        <f t="shared" si="51"/>
        <v>1</v>
      </c>
    </row>
    <row r="826" spans="1:13" x14ac:dyDescent="0.2">
      <c r="A826" s="9">
        <v>43561</v>
      </c>
      <c r="B826">
        <f t="shared" si="48"/>
        <v>6</v>
      </c>
      <c r="C826">
        <f t="shared" si="49"/>
        <v>4</v>
      </c>
      <c r="D826">
        <f t="shared" si="50"/>
        <v>2019</v>
      </c>
      <c r="E826" s="11">
        <v>3.1309999999999998</v>
      </c>
      <c r="F826" s="11">
        <v>101.54900000000001</v>
      </c>
      <c r="G826" s="11">
        <v>27.4</v>
      </c>
      <c r="H826" s="1" t="s">
        <v>0</v>
      </c>
      <c r="I826">
        <v>6.4</v>
      </c>
      <c r="J826">
        <v>34.5</v>
      </c>
      <c r="K826" t="s">
        <v>6</v>
      </c>
      <c r="L826">
        <v>27.7</v>
      </c>
      <c r="M826">
        <f t="shared" si="51"/>
        <v>1</v>
      </c>
    </row>
    <row r="827" spans="1:13" x14ac:dyDescent="0.2">
      <c r="A827" s="9">
        <v>43562</v>
      </c>
      <c r="B827">
        <f t="shared" si="48"/>
        <v>7</v>
      </c>
      <c r="C827">
        <f t="shared" si="49"/>
        <v>4</v>
      </c>
      <c r="D827">
        <f t="shared" si="50"/>
        <v>2019</v>
      </c>
      <c r="E827" s="11">
        <v>3.1309999999999998</v>
      </c>
      <c r="F827" s="11">
        <v>101.54900000000001</v>
      </c>
      <c r="G827" s="11">
        <v>27.4</v>
      </c>
      <c r="H827" s="1" t="s">
        <v>0</v>
      </c>
      <c r="I827">
        <v>18.8</v>
      </c>
      <c r="J827">
        <v>35.6</v>
      </c>
      <c r="K827">
        <v>23.9</v>
      </c>
      <c r="L827">
        <v>29</v>
      </c>
      <c r="M827">
        <f t="shared" si="51"/>
        <v>1</v>
      </c>
    </row>
    <row r="828" spans="1:13" x14ac:dyDescent="0.2">
      <c r="A828" s="9">
        <v>43563</v>
      </c>
      <c r="B828">
        <f t="shared" si="48"/>
        <v>8</v>
      </c>
      <c r="C828">
        <f t="shared" si="49"/>
        <v>4</v>
      </c>
      <c r="D828">
        <f t="shared" si="50"/>
        <v>2019</v>
      </c>
      <c r="E828" s="11">
        <v>3.1309999999999998</v>
      </c>
      <c r="F828" s="11">
        <v>101.54900000000001</v>
      </c>
      <c r="G828" s="11">
        <v>27.4</v>
      </c>
      <c r="H828" s="1" t="s">
        <v>0</v>
      </c>
      <c r="I828">
        <v>0</v>
      </c>
      <c r="J828">
        <v>35.299999999999997</v>
      </c>
      <c r="K828">
        <v>25.7</v>
      </c>
      <c r="L828">
        <v>29.9</v>
      </c>
      <c r="M828">
        <f t="shared" si="51"/>
        <v>0</v>
      </c>
    </row>
    <row r="829" spans="1:13" x14ac:dyDescent="0.2">
      <c r="A829" s="9">
        <v>43564</v>
      </c>
      <c r="B829">
        <f t="shared" si="48"/>
        <v>9</v>
      </c>
      <c r="C829">
        <f t="shared" si="49"/>
        <v>4</v>
      </c>
      <c r="D829">
        <f t="shared" si="50"/>
        <v>2019</v>
      </c>
      <c r="E829" s="11">
        <v>3.1309999999999998</v>
      </c>
      <c r="F829" s="11">
        <v>101.54900000000001</v>
      </c>
      <c r="G829" s="11">
        <v>27.4</v>
      </c>
      <c r="H829" s="1" t="s">
        <v>0</v>
      </c>
      <c r="I829">
        <v>0</v>
      </c>
      <c r="J829" t="s">
        <v>6</v>
      </c>
      <c r="K829" t="s">
        <v>6</v>
      </c>
      <c r="L829">
        <v>29.3</v>
      </c>
      <c r="M829">
        <f t="shared" si="51"/>
        <v>0</v>
      </c>
    </row>
    <row r="830" spans="1:13" x14ac:dyDescent="0.2">
      <c r="A830" s="9">
        <v>43565</v>
      </c>
      <c r="B830">
        <f t="shared" si="48"/>
        <v>10</v>
      </c>
      <c r="C830">
        <f t="shared" si="49"/>
        <v>4</v>
      </c>
      <c r="D830">
        <f t="shared" si="50"/>
        <v>2019</v>
      </c>
      <c r="E830" s="11">
        <v>3.1309999999999998</v>
      </c>
      <c r="F830" s="11">
        <v>101.54900000000001</v>
      </c>
      <c r="G830" s="11">
        <v>27.4</v>
      </c>
      <c r="H830" s="1" t="s">
        <v>0</v>
      </c>
      <c r="I830">
        <v>0</v>
      </c>
      <c r="J830" t="s">
        <v>6</v>
      </c>
      <c r="K830">
        <v>25.8</v>
      </c>
      <c r="L830">
        <v>30.1</v>
      </c>
      <c r="M830">
        <f t="shared" si="51"/>
        <v>0</v>
      </c>
    </row>
    <row r="831" spans="1:13" x14ac:dyDescent="0.2">
      <c r="A831" s="9">
        <v>43566</v>
      </c>
      <c r="B831">
        <f t="shared" si="48"/>
        <v>11</v>
      </c>
      <c r="C831">
        <f t="shared" si="49"/>
        <v>4</v>
      </c>
      <c r="D831">
        <f t="shared" si="50"/>
        <v>2019</v>
      </c>
      <c r="E831" s="11">
        <v>3.1309999999999998</v>
      </c>
      <c r="F831" s="11">
        <v>101.54900000000001</v>
      </c>
      <c r="G831" s="11">
        <v>27.4</v>
      </c>
      <c r="H831" s="1" t="s">
        <v>0</v>
      </c>
      <c r="I831">
        <v>0</v>
      </c>
      <c r="J831">
        <v>36.299999999999997</v>
      </c>
      <c r="K831">
        <v>26.5</v>
      </c>
      <c r="L831">
        <v>30.7</v>
      </c>
      <c r="M831">
        <f t="shared" si="51"/>
        <v>0</v>
      </c>
    </row>
    <row r="832" spans="1:13" x14ac:dyDescent="0.2">
      <c r="A832" s="9">
        <v>43567</v>
      </c>
      <c r="B832">
        <f t="shared" si="48"/>
        <v>12</v>
      </c>
      <c r="C832">
        <f t="shared" si="49"/>
        <v>4</v>
      </c>
      <c r="D832">
        <f t="shared" si="50"/>
        <v>2019</v>
      </c>
      <c r="E832" s="11">
        <v>3.1309999999999998</v>
      </c>
      <c r="F832" s="11">
        <v>101.54900000000001</v>
      </c>
      <c r="G832" s="11">
        <v>27.4</v>
      </c>
      <c r="H832" s="1" t="s">
        <v>0</v>
      </c>
      <c r="I832">
        <v>0</v>
      </c>
      <c r="J832">
        <v>34.1</v>
      </c>
      <c r="K832" t="s">
        <v>6</v>
      </c>
      <c r="L832">
        <v>28.4</v>
      </c>
      <c r="M832">
        <f t="shared" si="51"/>
        <v>0</v>
      </c>
    </row>
    <row r="833" spans="1:13" x14ac:dyDescent="0.2">
      <c r="A833" s="9">
        <v>43568</v>
      </c>
      <c r="B833">
        <f t="shared" si="48"/>
        <v>13</v>
      </c>
      <c r="C833">
        <f t="shared" si="49"/>
        <v>4</v>
      </c>
      <c r="D833">
        <f t="shared" si="50"/>
        <v>2019</v>
      </c>
      <c r="E833" s="11">
        <v>3.1309999999999998</v>
      </c>
      <c r="F833" s="11">
        <v>101.54900000000001</v>
      </c>
      <c r="G833" s="11">
        <v>27.4</v>
      </c>
      <c r="H833" s="1" t="s">
        <v>0</v>
      </c>
      <c r="I833">
        <v>27.9</v>
      </c>
      <c r="J833">
        <v>34.4</v>
      </c>
      <c r="K833">
        <v>25.1</v>
      </c>
      <c r="L833">
        <v>28</v>
      </c>
      <c r="M833">
        <f t="shared" si="51"/>
        <v>1</v>
      </c>
    </row>
    <row r="834" spans="1:13" x14ac:dyDescent="0.2">
      <c r="A834" s="9">
        <v>43569</v>
      </c>
      <c r="B834">
        <f t="shared" si="48"/>
        <v>14</v>
      </c>
      <c r="C834">
        <f t="shared" si="49"/>
        <v>4</v>
      </c>
      <c r="D834">
        <f t="shared" si="50"/>
        <v>2019</v>
      </c>
      <c r="E834" s="11">
        <v>3.1309999999999998</v>
      </c>
      <c r="F834" s="11">
        <v>101.54900000000001</v>
      </c>
      <c r="G834" s="11">
        <v>27.4</v>
      </c>
      <c r="H834" s="1" t="s">
        <v>0</v>
      </c>
      <c r="I834">
        <v>13.7</v>
      </c>
      <c r="J834">
        <v>34.5</v>
      </c>
      <c r="K834" t="s">
        <v>6</v>
      </c>
      <c r="L834">
        <v>28.2</v>
      </c>
      <c r="M834">
        <f t="shared" si="51"/>
        <v>1</v>
      </c>
    </row>
    <row r="835" spans="1:13" x14ac:dyDescent="0.2">
      <c r="A835" s="9">
        <v>43570</v>
      </c>
      <c r="B835">
        <f t="shared" ref="B835:B898" si="52">DAY(A835)</f>
        <v>15</v>
      </c>
      <c r="C835">
        <f t="shared" ref="C835:C898" si="53">MONTH(A835)</f>
        <v>4</v>
      </c>
      <c r="D835">
        <f t="shared" ref="D835:D898" si="54">YEAR(A835)</f>
        <v>2019</v>
      </c>
      <c r="E835" s="11">
        <v>3.1309999999999998</v>
      </c>
      <c r="F835" s="11">
        <v>101.54900000000001</v>
      </c>
      <c r="G835" s="11">
        <v>27.4</v>
      </c>
      <c r="H835" s="1" t="s">
        <v>0</v>
      </c>
      <c r="I835">
        <v>35.1</v>
      </c>
      <c r="J835">
        <v>34.5</v>
      </c>
      <c r="K835">
        <v>25.3</v>
      </c>
      <c r="L835">
        <v>29.8</v>
      </c>
      <c r="M835">
        <f t="shared" ref="M835:M898" si="55">IF(ISNUMBER(I835), IF(I835&gt;0, 1, 0), "")</f>
        <v>1</v>
      </c>
    </row>
    <row r="836" spans="1:13" x14ac:dyDescent="0.2">
      <c r="A836" s="9">
        <v>43571</v>
      </c>
      <c r="B836">
        <f t="shared" si="52"/>
        <v>16</v>
      </c>
      <c r="C836">
        <f t="shared" si="53"/>
        <v>4</v>
      </c>
      <c r="D836">
        <f t="shared" si="54"/>
        <v>2019</v>
      </c>
      <c r="E836" s="11">
        <v>3.1309999999999998</v>
      </c>
      <c r="F836" s="11">
        <v>101.54900000000001</v>
      </c>
      <c r="G836" s="11">
        <v>27.4</v>
      </c>
      <c r="H836" s="1" t="s">
        <v>0</v>
      </c>
      <c r="I836">
        <v>0</v>
      </c>
      <c r="J836">
        <v>35.299999999999997</v>
      </c>
      <c r="K836" t="s">
        <v>6</v>
      </c>
      <c r="L836">
        <v>29.1</v>
      </c>
      <c r="M836">
        <f t="shared" si="55"/>
        <v>0</v>
      </c>
    </row>
    <row r="837" spans="1:13" x14ac:dyDescent="0.2">
      <c r="A837" s="9">
        <v>43572</v>
      </c>
      <c r="B837">
        <f t="shared" si="52"/>
        <v>17</v>
      </c>
      <c r="C837">
        <f t="shared" si="53"/>
        <v>4</v>
      </c>
      <c r="D837">
        <f t="shared" si="54"/>
        <v>2019</v>
      </c>
      <c r="E837" s="11">
        <v>3.1309999999999998</v>
      </c>
      <c r="F837" s="11">
        <v>101.54900000000001</v>
      </c>
      <c r="G837" s="11">
        <v>27.4</v>
      </c>
      <c r="H837" s="1" t="s">
        <v>0</v>
      </c>
      <c r="I837">
        <v>8.9</v>
      </c>
      <c r="J837">
        <v>35.4</v>
      </c>
      <c r="K837">
        <v>23.8</v>
      </c>
      <c r="L837">
        <v>30.2</v>
      </c>
      <c r="M837">
        <f t="shared" si="55"/>
        <v>1</v>
      </c>
    </row>
    <row r="838" spans="1:13" x14ac:dyDescent="0.2">
      <c r="A838" s="9">
        <v>43573</v>
      </c>
      <c r="B838">
        <f t="shared" si="52"/>
        <v>18</v>
      </c>
      <c r="C838">
        <f t="shared" si="53"/>
        <v>4</v>
      </c>
      <c r="D838">
        <f t="shared" si="54"/>
        <v>2019</v>
      </c>
      <c r="E838" s="11">
        <v>3.1309999999999998</v>
      </c>
      <c r="F838" s="11">
        <v>101.54900000000001</v>
      </c>
      <c r="G838" s="11">
        <v>27.4</v>
      </c>
      <c r="H838" s="1" t="s">
        <v>0</v>
      </c>
      <c r="I838">
        <v>0</v>
      </c>
      <c r="J838">
        <v>35</v>
      </c>
      <c r="K838" t="s">
        <v>6</v>
      </c>
      <c r="L838">
        <v>28.3</v>
      </c>
      <c r="M838">
        <f t="shared" si="55"/>
        <v>0</v>
      </c>
    </row>
    <row r="839" spans="1:13" x14ac:dyDescent="0.2">
      <c r="A839" s="9">
        <v>43574</v>
      </c>
      <c r="B839">
        <f t="shared" si="52"/>
        <v>19</v>
      </c>
      <c r="C839">
        <f t="shared" si="53"/>
        <v>4</v>
      </c>
      <c r="D839">
        <f t="shared" si="54"/>
        <v>2019</v>
      </c>
      <c r="E839" s="11">
        <v>3.1309999999999998</v>
      </c>
      <c r="F839" s="11">
        <v>101.54900000000001</v>
      </c>
      <c r="G839" s="11">
        <v>27.4</v>
      </c>
      <c r="H839" s="1" t="s">
        <v>0</v>
      </c>
      <c r="I839">
        <v>12.4</v>
      </c>
      <c r="J839">
        <v>35.200000000000003</v>
      </c>
      <c r="K839">
        <v>25.2</v>
      </c>
      <c r="L839">
        <v>30.3</v>
      </c>
      <c r="M839">
        <f t="shared" si="55"/>
        <v>1</v>
      </c>
    </row>
    <row r="840" spans="1:13" x14ac:dyDescent="0.2">
      <c r="A840" s="9">
        <v>43575</v>
      </c>
      <c r="B840">
        <f t="shared" si="52"/>
        <v>20</v>
      </c>
      <c r="C840">
        <f t="shared" si="53"/>
        <v>4</v>
      </c>
      <c r="D840">
        <f t="shared" si="54"/>
        <v>2019</v>
      </c>
      <c r="E840" s="11">
        <v>3.1309999999999998</v>
      </c>
      <c r="F840" s="11">
        <v>101.54900000000001</v>
      </c>
      <c r="G840" s="11">
        <v>27.4</v>
      </c>
      <c r="H840" s="1" t="s">
        <v>0</v>
      </c>
      <c r="I840">
        <v>0</v>
      </c>
      <c r="J840">
        <v>34.1</v>
      </c>
      <c r="K840" t="s">
        <v>6</v>
      </c>
      <c r="L840">
        <v>28.1</v>
      </c>
      <c r="M840">
        <f t="shared" si="55"/>
        <v>0</v>
      </c>
    </row>
    <row r="841" spans="1:13" x14ac:dyDescent="0.2">
      <c r="A841" s="9">
        <v>43576</v>
      </c>
      <c r="B841">
        <f t="shared" si="52"/>
        <v>21</v>
      </c>
      <c r="C841">
        <f t="shared" si="53"/>
        <v>4</v>
      </c>
      <c r="D841">
        <f t="shared" si="54"/>
        <v>2019</v>
      </c>
      <c r="E841" s="11">
        <v>3.1309999999999998</v>
      </c>
      <c r="F841" s="11">
        <v>101.54900000000001</v>
      </c>
      <c r="G841" s="11">
        <v>27.4</v>
      </c>
      <c r="H841" s="1" t="s">
        <v>0</v>
      </c>
      <c r="I841">
        <v>2.2999999999999998</v>
      </c>
      <c r="J841">
        <v>36</v>
      </c>
      <c r="K841">
        <v>25.3</v>
      </c>
      <c r="L841">
        <v>30.3</v>
      </c>
      <c r="M841">
        <f t="shared" si="55"/>
        <v>1</v>
      </c>
    </row>
    <row r="842" spans="1:13" x14ac:dyDescent="0.2">
      <c r="A842" s="9">
        <v>43577</v>
      </c>
      <c r="B842">
        <f t="shared" si="52"/>
        <v>22</v>
      </c>
      <c r="C842">
        <f t="shared" si="53"/>
        <v>4</v>
      </c>
      <c r="D842">
        <f t="shared" si="54"/>
        <v>2019</v>
      </c>
      <c r="E842" s="11">
        <v>3.1309999999999998</v>
      </c>
      <c r="F842" s="11">
        <v>101.54900000000001</v>
      </c>
      <c r="G842" s="11">
        <v>27.4</v>
      </c>
      <c r="H842" s="1" t="s">
        <v>0</v>
      </c>
      <c r="I842">
        <v>0</v>
      </c>
      <c r="J842">
        <v>34.700000000000003</v>
      </c>
      <c r="K842">
        <v>25.9</v>
      </c>
      <c r="L842">
        <v>28.4</v>
      </c>
      <c r="M842">
        <f t="shared" si="55"/>
        <v>0</v>
      </c>
    </row>
    <row r="843" spans="1:13" x14ac:dyDescent="0.2">
      <c r="A843" s="9">
        <v>43578</v>
      </c>
      <c r="B843">
        <f t="shared" si="52"/>
        <v>23</v>
      </c>
      <c r="C843">
        <f t="shared" si="53"/>
        <v>4</v>
      </c>
      <c r="D843">
        <f t="shared" si="54"/>
        <v>2019</v>
      </c>
      <c r="E843" s="11">
        <v>3.1309999999999998</v>
      </c>
      <c r="F843" s="11">
        <v>101.54900000000001</v>
      </c>
      <c r="G843" s="11">
        <v>27.4</v>
      </c>
      <c r="H843" s="1" t="s">
        <v>0</v>
      </c>
      <c r="I843">
        <v>50.5</v>
      </c>
      <c r="J843">
        <v>35.1</v>
      </c>
      <c r="K843">
        <v>24.4</v>
      </c>
      <c r="L843">
        <v>28.4</v>
      </c>
      <c r="M843">
        <f t="shared" si="55"/>
        <v>1</v>
      </c>
    </row>
    <row r="844" spans="1:13" x14ac:dyDescent="0.2">
      <c r="A844" s="9">
        <v>43579</v>
      </c>
      <c r="B844">
        <f t="shared" si="52"/>
        <v>24</v>
      </c>
      <c r="C844">
        <f t="shared" si="53"/>
        <v>4</v>
      </c>
      <c r="D844">
        <f t="shared" si="54"/>
        <v>2019</v>
      </c>
      <c r="E844" s="11">
        <v>3.1309999999999998</v>
      </c>
      <c r="F844" s="11">
        <v>101.54900000000001</v>
      </c>
      <c r="G844" s="11">
        <v>27.4</v>
      </c>
      <c r="H844" s="1" t="s">
        <v>0</v>
      </c>
      <c r="I844">
        <v>27.9</v>
      </c>
      <c r="J844">
        <v>35.799999999999997</v>
      </c>
      <c r="K844">
        <v>25.2</v>
      </c>
      <c r="L844">
        <v>29.9</v>
      </c>
      <c r="M844">
        <f t="shared" si="55"/>
        <v>1</v>
      </c>
    </row>
    <row r="845" spans="1:13" x14ac:dyDescent="0.2">
      <c r="A845" s="9">
        <v>43580</v>
      </c>
      <c r="B845">
        <f t="shared" si="52"/>
        <v>25</v>
      </c>
      <c r="C845">
        <f t="shared" si="53"/>
        <v>4</v>
      </c>
      <c r="D845">
        <f t="shared" si="54"/>
        <v>2019</v>
      </c>
      <c r="E845" s="11">
        <v>3.1309999999999998</v>
      </c>
      <c r="F845" s="11">
        <v>101.54900000000001</v>
      </c>
      <c r="G845" s="11">
        <v>27.4</v>
      </c>
      <c r="H845" s="1" t="s">
        <v>0</v>
      </c>
      <c r="I845">
        <v>0</v>
      </c>
      <c r="J845">
        <v>34.4</v>
      </c>
      <c r="K845" t="s">
        <v>6</v>
      </c>
      <c r="L845">
        <v>29.1</v>
      </c>
      <c r="M845">
        <f t="shared" si="55"/>
        <v>0</v>
      </c>
    </row>
    <row r="846" spans="1:13" x14ac:dyDescent="0.2">
      <c r="A846" s="9">
        <v>43581</v>
      </c>
      <c r="B846">
        <f t="shared" si="52"/>
        <v>26</v>
      </c>
      <c r="C846">
        <f t="shared" si="53"/>
        <v>4</v>
      </c>
      <c r="D846">
        <f t="shared" si="54"/>
        <v>2019</v>
      </c>
      <c r="E846" s="11">
        <v>3.1309999999999998</v>
      </c>
      <c r="F846" s="11">
        <v>101.54900000000001</v>
      </c>
      <c r="G846" s="11">
        <v>27.4</v>
      </c>
      <c r="H846" s="1" t="s">
        <v>0</v>
      </c>
      <c r="I846">
        <v>16.3</v>
      </c>
      <c r="J846">
        <v>32.6</v>
      </c>
      <c r="K846" t="s">
        <v>6</v>
      </c>
      <c r="L846">
        <v>27.1</v>
      </c>
      <c r="M846">
        <f t="shared" si="55"/>
        <v>1</v>
      </c>
    </row>
    <row r="847" spans="1:13" x14ac:dyDescent="0.2">
      <c r="A847" s="9">
        <v>43582</v>
      </c>
      <c r="B847">
        <f t="shared" si="52"/>
        <v>27</v>
      </c>
      <c r="C847">
        <f t="shared" si="53"/>
        <v>4</v>
      </c>
      <c r="D847">
        <f t="shared" si="54"/>
        <v>2019</v>
      </c>
      <c r="E847" s="11">
        <v>3.1309999999999998</v>
      </c>
      <c r="F847" s="11">
        <v>101.54900000000001</v>
      </c>
      <c r="G847" s="11">
        <v>27.4</v>
      </c>
      <c r="H847" s="1" t="s">
        <v>0</v>
      </c>
      <c r="I847">
        <v>7.9</v>
      </c>
      <c r="J847">
        <v>32.5</v>
      </c>
      <c r="K847">
        <v>25.2</v>
      </c>
      <c r="L847">
        <v>29.3</v>
      </c>
      <c r="M847">
        <f t="shared" si="55"/>
        <v>1</v>
      </c>
    </row>
    <row r="848" spans="1:13" x14ac:dyDescent="0.2">
      <c r="A848" s="9">
        <v>43583</v>
      </c>
      <c r="B848">
        <f t="shared" si="52"/>
        <v>28</v>
      </c>
      <c r="C848">
        <f t="shared" si="53"/>
        <v>4</v>
      </c>
      <c r="D848">
        <f t="shared" si="54"/>
        <v>2019</v>
      </c>
      <c r="E848" s="11">
        <v>3.1309999999999998</v>
      </c>
      <c r="F848" s="11">
        <v>101.54900000000001</v>
      </c>
      <c r="G848" s="11">
        <v>27.4</v>
      </c>
      <c r="H848" s="1" t="s">
        <v>0</v>
      </c>
      <c r="I848">
        <v>0</v>
      </c>
      <c r="J848">
        <v>35.1</v>
      </c>
      <c r="K848">
        <v>25.6</v>
      </c>
      <c r="L848">
        <v>30.1</v>
      </c>
      <c r="M848">
        <f t="shared" si="55"/>
        <v>0</v>
      </c>
    </row>
    <row r="849" spans="1:13" x14ac:dyDescent="0.2">
      <c r="A849" s="9">
        <v>43584</v>
      </c>
      <c r="B849">
        <f t="shared" si="52"/>
        <v>29</v>
      </c>
      <c r="C849">
        <f t="shared" si="53"/>
        <v>4</v>
      </c>
      <c r="D849">
        <f t="shared" si="54"/>
        <v>2019</v>
      </c>
      <c r="E849" s="11">
        <v>3.1309999999999998</v>
      </c>
      <c r="F849" s="11">
        <v>101.54900000000001</v>
      </c>
      <c r="G849" s="11">
        <v>27.4</v>
      </c>
      <c r="H849" s="1" t="s">
        <v>0</v>
      </c>
      <c r="I849">
        <v>2</v>
      </c>
      <c r="J849">
        <v>35.299999999999997</v>
      </c>
      <c r="K849">
        <v>26.2</v>
      </c>
      <c r="L849">
        <v>29.4</v>
      </c>
      <c r="M849">
        <f t="shared" si="55"/>
        <v>1</v>
      </c>
    </row>
    <row r="850" spans="1:13" x14ac:dyDescent="0.2">
      <c r="A850" s="9">
        <v>43585</v>
      </c>
      <c r="B850">
        <f t="shared" si="52"/>
        <v>30</v>
      </c>
      <c r="C850">
        <f t="shared" si="53"/>
        <v>4</v>
      </c>
      <c r="D850">
        <f t="shared" si="54"/>
        <v>2019</v>
      </c>
      <c r="E850" s="11">
        <v>3.1309999999999998</v>
      </c>
      <c r="F850" s="11">
        <v>101.54900000000001</v>
      </c>
      <c r="G850" s="11">
        <v>27.4</v>
      </c>
      <c r="H850" s="1" t="s">
        <v>0</v>
      </c>
      <c r="I850">
        <v>1.5</v>
      </c>
      <c r="J850">
        <v>31.4</v>
      </c>
      <c r="K850" t="s">
        <v>6</v>
      </c>
      <c r="L850">
        <v>27.1</v>
      </c>
      <c r="M850">
        <f t="shared" si="55"/>
        <v>1</v>
      </c>
    </row>
    <row r="851" spans="1:13" x14ac:dyDescent="0.2">
      <c r="A851" s="9">
        <v>43586</v>
      </c>
      <c r="B851">
        <f t="shared" si="52"/>
        <v>1</v>
      </c>
      <c r="C851">
        <f t="shared" si="53"/>
        <v>5</v>
      </c>
      <c r="D851">
        <f t="shared" si="54"/>
        <v>2019</v>
      </c>
      <c r="E851" s="11">
        <v>3.1309999999999998</v>
      </c>
      <c r="F851" s="11">
        <v>101.54900000000001</v>
      </c>
      <c r="G851" s="11">
        <v>27.4</v>
      </c>
      <c r="H851" s="1" t="s">
        <v>0</v>
      </c>
      <c r="I851">
        <v>6.6</v>
      </c>
      <c r="J851">
        <v>35</v>
      </c>
      <c r="K851">
        <v>23.8</v>
      </c>
      <c r="L851">
        <v>30.1</v>
      </c>
      <c r="M851">
        <f t="shared" si="55"/>
        <v>1</v>
      </c>
    </row>
    <row r="852" spans="1:13" x14ac:dyDescent="0.2">
      <c r="A852" s="9">
        <v>43587</v>
      </c>
      <c r="B852">
        <f t="shared" si="52"/>
        <v>2</v>
      </c>
      <c r="C852">
        <f t="shared" si="53"/>
        <v>5</v>
      </c>
      <c r="D852">
        <f t="shared" si="54"/>
        <v>2019</v>
      </c>
      <c r="E852" s="11">
        <v>3.1309999999999998</v>
      </c>
      <c r="F852" s="11">
        <v>101.54900000000001</v>
      </c>
      <c r="G852" s="11">
        <v>27.4</v>
      </c>
      <c r="H852" s="1" t="s">
        <v>0</v>
      </c>
      <c r="I852">
        <v>0</v>
      </c>
      <c r="J852" t="s">
        <v>6</v>
      </c>
      <c r="K852">
        <v>25.6</v>
      </c>
      <c r="L852">
        <v>30.7</v>
      </c>
      <c r="M852">
        <f t="shared" si="55"/>
        <v>0</v>
      </c>
    </row>
    <row r="853" spans="1:13" x14ac:dyDescent="0.2">
      <c r="A853" s="9">
        <v>43588</v>
      </c>
      <c r="B853">
        <f t="shared" si="52"/>
        <v>3</v>
      </c>
      <c r="C853">
        <f t="shared" si="53"/>
        <v>5</v>
      </c>
      <c r="D853">
        <f t="shared" si="54"/>
        <v>2019</v>
      </c>
      <c r="E853" s="11">
        <v>3.1309999999999998</v>
      </c>
      <c r="F853" s="11">
        <v>101.54900000000001</v>
      </c>
      <c r="G853" s="11">
        <v>27.4</v>
      </c>
      <c r="H853" s="1" t="s">
        <v>0</v>
      </c>
      <c r="I853">
        <v>0</v>
      </c>
      <c r="J853">
        <v>36.1</v>
      </c>
      <c r="K853" t="s">
        <v>6</v>
      </c>
      <c r="L853">
        <v>28.9</v>
      </c>
      <c r="M853">
        <f t="shared" si="55"/>
        <v>0</v>
      </c>
    </row>
    <row r="854" spans="1:13" x14ac:dyDescent="0.2">
      <c r="A854" s="9">
        <v>43589</v>
      </c>
      <c r="B854">
        <f t="shared" si="52"/>
        <v>4</v>
      </c>
      <c r="C854">
        <f t="shared" si="53"/>
        <v>5</v>
      </c>
      <c r="D854">
        <f t="shared" si="54"/>
        <v>2019</v>
      </c>
      <c r="E854" s="11">
        <v>3.1309999999999998</v>
      </c>
      <c r="F854" s="11">
        <v>101.54900000000001</v>
      </c>
      <c r="G854" s="11">
        <v>27.4</v>
      </c>
      <c r="H854" s="1" t="s">
        <v>0</v>
      </c>
      <c r="I854">
        <v>9.4</v>
      </c>
      <c r="J854">
        <v>34.5</v>
      </c>
      <c r="K854">
        <v>25.5</v>
      </c>
      <c r="L854">
        <v>29</v>
      </c>
      <c r="M854">
        <f t="shared" si="55"/>
        <v>1</v>
      </c>
    </row>
    <row r="855" spans="1:13" x14ac:dyDescent="0.2">
      <c r="A855" s="9">
        <v>43590</v>
      </c>
      <c r="B855">
        <f t="shared" si="52"/>
        <v>5</v>
      </c>
      <c r="C855">
        <f t="shared" si="53"/>
        <v>5</v>
      </c>
      <c r="D855">
        <f t="shared" si="54"/>
        <v>2019</v>
      </c>
      <c r="E855" s="11">
        <v>3.1309999999999998</v>
      </c>
      <c r="F855" s="11">
        <v>101.54900000000001</v>
      </c>
      <c r="G855" s="11">
        <v>27.4</v>
      </c>
      <c r="H855" s="1" t="s">
        <v>0</v>
      </c>
      <c r="I855">
        <v>0</v>
      </c>
      <c r="J855">
        <v>34.5</v>
      </c>
      <c r="K855">
        <v>25.7</v>
      </c>
      <c r="L855">
        <v>29.1</v>
      </c>
      <c r="M855">
        <f t="shared" si="55"/>
        <v>0</v>
      </c>
    </row>
    <row r="856" spans="1:13" x14ac:dyDescent="0.2">
      <c r="A856" s="9">
        <v>43591</v>
      </c>
      <c r="B856">
        <f t="shared" si="52"/>
        <v>6</v>
      </c>
      <c r="C856">
        <f t="shared" si="53"/>
        <v>5</v>
      </c>
      <c r="D856">
        <f t="shared" si="54"/>
        <v>2019</v>
      </c>
      <c r="E856" s="11">
        <v>3.1309999999999998</v>
      </c>
      <c r="F856" s="11">
        <v>101.54900000000001</v>
      </c>
      <c r="G856" s="11">
        <v>27.4</v>
      </c>
      <c r="H856" s="1" t="s">
        <v>0</v>
      </c>
      <c r="I856">
        <v>0</v>
      </c>
      <c r="J856">
        <v>34.200000000000003</v>
      </c>
      <c r="K856">
        <v>25.6</v>
      </c>
      <c r="L856">
        <v>29</v>
      </c>
      <c r="M856">
        <f t="shared" si="55"/>
        <v>0</v>
      </c>
    </row>
    <row r="857" spans="1:13" x14ac:dyDescent="0.2">
      <c r="A857" s="9">
        <v>43592</v>
      </c>
      <c r="B857">
        <f t="shared" si="52"/>
        <v>7</v>
      </c>
      <c r="C857">
        <f t="shared" si="53"/>
        <v>5</v>
      </c>
      <c r="D857">
        <f t="shared" si="54"/>
        <v>2019</v>
      </c>
      <c r="E857" s="11">
        <v>3.1309999999999998</v>
      </c>
      <c r="F857" s="11">
        <v>101.54900000000001</v>
      </c>
      <c r="G857" s="11">
        <v>27.4</v>
      </c>
      <c r="H857" s="1" t="s">
        <v>0</v>
      </c>
      <c r="I857">
        <v>1.3</v>
      </c>
      <c r="J857" t="s">
        <v>6</v>
      </c>
      <c r="K857">
        <v>25.6</v>
      </c>
      <c r="L857">
        <v>29.4</v>
      </c>
      <c r="M857">
        <f t="shared" si="55"/>
        <v>1</v>
      </c>
    </row>
    <row r="858" spans="1:13" x14ac:dyDescent="0.2">
      <c r="A858" s="9">
        <v>43593</v>
      </c>
      <c r="B858">
        <f t="shared" si="52"/>
        <v>8</v>
      </c>
      <c r="C858">
        <f t="shared" si="53"/>
        <v>5</v>
      </c>
      <c r="D858">
        <f t="shared" si="54"/>
        <v>2019</v>
      </c>
      <c r="E858" s="11">
        <v>3.1309999999999998</v>
      </c>
      <c r="F858" s="11">
        <v>101.54900000000001</v>
      </c>
      <c r="G858" s="11">
        <v>27.4</v>
      </c>
      <c r="H858" s="1" t="s">
        <v>0</v>
      </c>
      <c r="I858">
        <v>0</v>
      </c>
      <c r="J858">
        <v>33.6</v>
      </c>
      <c r="K858">
        <v>25.8</v>
      </c>
      <c r="L858">
        <v>29.2</v>
      </c>
      <c r="M858">
        <f t="shared" si="55"/>
        <v>0</v>
      </c>
    </row>
    <row r="859" spans="1:13" x14ac:dyDescent="0.2">
      <c r="A859" s="9">
        <v>43594</v>
      </c>
      <c r="B859">
        <f t="shared" si="52"/>
        <v>9</v>
      </c>
      <c r="C859">
        <f t="shared" si="53"/>
        <v>5</v>
      </c>
      <c r="D859">
        <f t="shared" si="54"/>
        <v>2019</v>
      </c>
      <c r="E859" s="11">
        <v>3.1309999999999998</v>
      </c>
      <c r="F859" s="11">
        <v>101.54900000000001</v>
      </c>
      <c r="G859" s="11">
        <v>27.4</v>
      </c>
      <c r="H859" s="1" t="s">
        <v>0</v>
      </c>
      <c r="I859">
        <v>0.8</v>
      </c>
      <c r="J859">
        <v>34.5</v>
      </c>
      <c r="K859">
        <v>25.6</v>
      </c>
      <c r="L859">
        <v>29.4</v>
      </c>
      <c r="M859">
        <f t="shared" si="55"/>
        <v>1</v>
      </c>
    </row>
    <row r="860" spans="1:13" x14ac:dyDescent="0.2">
      <c r="A860" s="9">
        <v>43595</v>
      </c>
      <c r="B860">
        <f t="shared" si="52"/>
        <v>10</v>
      </c>
      <c r="C860">
        <f t="shared" si="53"/>
        <v>5</v>
      </c>
      <c r="D860">
        <f t="shared" si="54"/>
        <v>2019</v>
      </c>
      <c r="E860" s="11">
        <v>3.1309999999999998</v>
      </c>
      <c r="F860" s="11">
        <v>101.54900000000001</v>
      </c>
      <c r="G860" s="11">
        <v>27.4</v>
      </c>
      <c r="H860" s="1" t="s">
        <v>0</v>
      </c>
      <c r="I860">
        <v>0</v>
      </c>
      <c r="J860" t="s">
        <v>6</v>
      </c>
      <c r="K860">
        <v>26</v>
      </c>
      <c r="L860">
        <v>30.6</v>
      </c>
      <c r="M860">
        <f t="shared" si="55"/>
        <v>0</v>
      </c>
    </row>
    <row r="861" spans="1:13" x14ac:dyDescent="0.2">
      <c r="A861" s="9">
        <v>43596</v>
      </c>
      <c r="B861">
        <f t="shared" si="52"/>
        <v>11</v>
      </c>
      <c r="C861">
        <f t="shared" si="53"/>
        <v>5</v>
      </c>
      <c r="D861">
        <f t="shared" si="54"/>
        <v>2019</v>
      </c>
      <c r="E861" s="11">
        <v>3.1309999999999998</v>
      </c>
      <c r="F861" s="11">
        <v>101.54900000000001</v>
      </c>
      <c r="G861" s="11">
        <v>27.4</v>
      </c>
      <c r="H861" s="1" t="s">
        <v>0</v>
      </c>
      <c r="I861">
        <v>0</v>
      </c>
      <c r="J861">
        <v>33.6</v>
      </c>
      <c r="K861" t="s">
        <v>6</v>
      </c>
      <c r="L861">
        <v>29.6</v>
      </c>
      <c r="M861">
        <f t="shared" si="55"/>
        <v>0</v>
      </c>
    </row>
    <row r="862" spans="1:13" x14ac:dyDescent="0.2">
      <c r="A862" s="9">
        <v>43597</v>
      </c>
      <c r="B862">
        <f t="shared" si="52"/>
        <v>12</v>
      </c>
      <c r="C862">
        <f t="shared" si="53"/>
        <v>5</v>
      </c>
      <c r="D862">
        <f t="shared" si="54"/>
        <v>2019</v>
      </c>
      <c r="E862" s="11">
        <v>3.1309999999999998</v>
      </c>
      <c r="F862" s="11">
        <v>101.54900000000001</v>
      </c>
      <c r="G862" s="11">
        <v>27.4</v>
      </c>
      <c r="H862" s="1" t="s">
        <v>0</v>
      </c>
      <c r="I862">
        <v>0</v>
      </c>
      <c r="J862">
        <v>34.299999999999997</v>
      </c>
      <c r="K862">
        <v>26.6</v>
      </c>
      <c r="L862">
        <v>29.8</v>
      </c>
      <c r="M862">
        <f t="shared" si="55"/>
        <v>0</v>
      </c>
    </row>
    <row r="863" spans="1:13" x14ac:dyDescent="0.2">
      <c r="A863" s="9">
        <v>43598</v>
      </c>
      <c r="B863">
        <f t="shared" si="52"/>
        <v>13</v>
      </c>
      <c r="C863">
        <f t="shared" si="53"/>
        <v>5</v>
      </c>
      <c r="D863">
        <f t="shared" si="54"/>
        <v>2019</v>
      </c>
      <c r="E863" s="11">
        <v>3.1309999999999998</v>
      </c>
      <c r="F863" s="11">
        <v>101.54900000000001</v>
      </c>
      <c r="G863" s="11">
        <v>27.4</v>
      </c>
      <c r="H863" s="1" t="s">
        <v>0</v>
      </c>
      <c r="I863">
        <v>0</v>
      </c>
      <c r="J863" t="s">
        <v>6</v>
      </c>
      <c r="K863">
        <v>26.8</v>
      </c>
      <c r="L863">
        <v>30.4</v>
      </c>
      <c r="M863">
        <f t="shared" si="55"/>
        <v>0</v>
      </c>
    </row>
    <row r="864" spans="1:13" x14ac:dyDescent="0.2">
      <c r="A864" s="9">
        <v>43599</v>
      </c>
      <c r="B864">
        <f t="shared" si="52"/>
        <v>14</v>
      </c>
      <c r="C864">
        <f t="shared" si="53"/>
        <v>5</v>
      </c>
      <c r="D864">
        <f t="shared" si="54"/>
        <v>2019</v>
      </c>
      <c r="E864" s="11">
        <v>3.1309999999999998</v>
      </c>
      <c r="F864" s="11">
        <v>101.54900000000001</v>
      </c>
      <c r="G864" s="11">
        <v>27.4</v>
      </c>
      <c r="H864" s="1" t="s">
        <v>0</v>
      </c>
      <c r="I864">
        <v>0</v>
      </c>
      <c r="J864">
        <v>35</v>
      </c>
      <c r="K864" t="s">
        <v>6</v>
      </c>
      <c r="L864">
        <v>29.2</v>
      </c>
      <c r="M864">
        <f t="shared" si="55"/>
        <v>0</v>
      </c>
    </row>
    <row r="865" spans="1:13" x14ac:dyDescent="0.2">
      <c r="A865" s="9">
        <v>43600</v>
      </c>
      <c r="B865">
        <f t="shared" si="52"/>
        <v>15</v>
      </c>
      <c r="C865">
        <f t="shared" si="53"/>
        <v>5</v>
      </c>
      <c r="D865">
        <f t="shared" si="54"/>
        <v>2019</v>
      </c>
      <c r="E865" s="11">
        <v>3.1309999999999998</v>
      </c>
      <c r="F865" s="11">
        <v>101.54900000000001</v>
      </c>
      <c r="G865" s="11">
        <v>27.4</v>
      </c>
      <c r="H865" s="1" t="s">
        <v>0</v>
      </c>
      <c r="I865">
        <v>0.3</v>
      </c>
      <c r="J865">
        <v>34.1</v>
      </c>
      <c r="K865" t="s">
        <v>6</v>
      </c>
      <c r="L865">
        <v>28.1</v>
      </c>
      <c r="M865">
        <f t="shared" si="55"/>
        <v>1</v>
      </c>
    </row>
    <row r="866" spans="1:13" x14ac:dyDescent="0.2">
      <c r="A866" s="9">
        <v>43601</v>
      </c>
      <c r="B866">
        <f t="shared" si="52"/>
        <v>16</v>
      </c>
      <c r="C866">
        <f t="shared" si="53"/>
        <v>5</v>
      </c>
      <c r="D866">
        <f t="shared" si="54"/>
        <v>2019</v>
      </c>
      <c r="E866" s="11">
        <v>3.1309999999999998</v>
      </c>
      <c r="F866" s="11">
        <v>101.54900000000001</v>
      </c>
      <c r="G866" s="11">
        <v>27.4</v>
      </c>
      <c r="H866" s="1" t="s">
        <v>0</v>
      </c>
      <c r="I866">
        <v>19.100000000000001</v>
      </c>
      <c r="J866">
        <v>33.5</v>
      </c>
      <c r="K866">
        <v>24.1</v>
      </c>
      <c r="L866">
        <v>28.9</v>
      </c>
      <c r="M866">
        <f t="shared" si="55"/>
        <v>1</v>
      </c>
    </row>
    <row r="867" spans="1:13" x14ac:dyDescent="0.2">
      <c r="A867" s="9">
        <v>43602</v>
      </c>
      <c r="B867">
        <f t="shared" si="52"/>
        <v>17</v>
      </c>
      <c r="C867">
        <f t="shared" si="53"/>
        <v>5</v>
      </c>
      <c r="D867">
        <f t="shared" si="54"/>
        <v>2019</v>
      </c>
      <c r="E867" s="11">
        <v>3.1309999999999998</v>
      </c>
      <c r="F867" s="11">
        <v>101.54900000000001</v>
      </c>
      <c r="G867" s="11">
        <v>27.4</v>
      </c>
      <c r="H867" s="1" t="s">
        <v>0</v>
      </c>
      <c r="I867">
        <v>0</v>
      </c>
      <c r="J867">
        <v>33.5</v>
      </c>
      <c r="K867">
        <v>24.8</v>
      </c>
      <c r="L867">
        <v>29.3</v>
      </c>
      <c r="M867">
        <f t="shared" si="55"/>
        <v>0</v>
      </c>
    </row>
    <row r="868" spans="1:13" x14ac:dyDescent="0.2">
      <c r="A868" s="9">
        <v>43603</v>
      </c>
      <c r="B868">
        <f t="shared" si="52"/>
        <v>18</v>
      </c>
      <c r="C868">
        <f t="shared" si="53"/>
        <v>5</v>
      </c>
      <c r="D868">
        <f t="shared" si="54"/>
        <v>2019</v>
      </c>
      <c r="E868" s="11">
        <v>3.1309999999999998</v>
      </c>
      <c r="F868" s="11">
        <v>101.54900000000001</v>
      </c>
      <c r="G868" s="11">
        <v>27.4</v>
      </c>
      <c r="H868" s="1" t="s">
        <v>0</v>
      </c>
      <c r="I868">
        <v>0</v>
      </c>
      <c r="J868" t="s">
        <v>6</v>
      </c>
      <c r="K868">
        <v>26</v>
      </c>
      <c r="L868">
        <v>30.1</v>
      </c>
      <c r="M868">
        <f t="shared" si="55"/>
        <v>0</v>
      </c>
    </row>
    <row r="869" spans="1:13" x14ac:dyDescent="0.2">
      <c r="A869" s="9">
        <v>43604</v>
      </c>
      <c r="B869">
        <f t="shared" si="52"/>
        <v>19</v>
      </c>
      <c r="C869">
        <f t="shared" si="53"/>
        <v>5</v>
      </c>
      <c r="D869">
        <f t="shared" si="54"/>
        <v>2019</v>
      </c>
      <c r="E869" s="11">
        <v>3.1309999999999998</v>
      </c>
      <c r="F869" s="11">
        <v>101.54900000000001</v>
      </c>
      <c r="G869" s="11">
        <v>27.4</v>
      </c>
      <c r="H869" s="1" t="s">
        <v>0</v>
      </c>
      <c r="I869">
        <v>0</v>
      </c>
      <c r="J869">
        <v>33.1</v>
      </c>
      <c r="K869" t="s">
        <v>6</v>
      </c>
      <c r="L869">
        <v>28.8</v>
      </c>
      <c r="M869">
        <f t="shared" si="55"/>
        <v>0</v>
      </c>
    </row>
    <row r="870" spans="1:13" x14ac:dyDescent="0.2">
      <c r="A870" s="9">
        <v>43605</v>
      </c>
      <c r="B870">
        <f t="shared" si="52"/>
        <v>20</v>
      </c>
      <c r="C870">
        <f t="shared" si="53"/>
        <v>5</v>
      </c>
      <c r="D870">
        <f t="shared" si="54"/>
        <v>2019</v>
      </c>
      <c r="E870" s="11">
        <v>3.1309999999999998</v>
      </c>
      <c r="F870" s="11">
        <v>101.54900000000001</v>
      </c>
      <c r="G870" s="11">
        <v>27.4</v>
      </c>
      <c r="H870" s="1" t="s">
        <v>0</v>
      </c>
      <c r="I870">
        <v>0</v>
      </c>
      <c r="J870" t="s">
        <v>6</v>
      </c>
      <c r="K870" t="s">
        <v>6</v>
      </c>
      <c r="L870">
        <v>27.6</v>
      </c>
      <c r="M870">
        <f t="shared" si="55"/>
        <v>0</v>
      </c>
    </row>
    <row r="871" spans="1:13" x14ac:dyDescent="0.2">
      <c r="A871" s="9">
        <v>43606</v>
      </c>
      <c r="B871">
        <f t="shared" si="52"/>
        <v>21</v>
      </c>
      <c r="C871">
        <f t="shared" si="53"/>
        <v>5</v>
      </c>
      <c r="D871">
        <f t="shared" si="54"/>
        <v>2019</v>
      </c>
      <c r="E871" s="11">
        <v>3.1309999999999998</v>
      </c>
      <c r="F871" s="11">
        <v>101.54900000000001</v>
      </c>
      <c r="G871" s="11">
        <v>27.4</v>
      </c>
      <c r="H871" s="1" t="s">
        <v>0</v>
      </c>
      <c r="I871">
        <v>47.5</v>
      </c>
      <c r="J871">
        <v>33</v>
      </c>
      <c r="K871" t="s">
        <v>6</v>
      </c>
      <c r="L871">
        <v>27.3</v>
      </c>
      <c r="M871">
        <f t="shared" si="55"/>
        <v>1</v>
      </c>
    </row>
    <row r="872" spans="1:13" x14ac:dyDescent="0.2">
      <c r="A872" s="9">
        <v>43607</v>
      </c>
      <c r="B872">
        <f t="shared" si="52"/>
        <v>22</v>
      </c>
      <c r="C872">
        <f t="shared" si="53"/>
        <v>5</v>
      </c>
      <c r="D872">
        <f t="shared" si="54"/>
        <v>2019</v>
      </c>
      <c r="E872" s="11">
        <v>3.1309999999999998</v>
      </c>
      <c r="F872" s="11">
        <v>101.54900000000001</v>
      </c>
      <c r="G872" s="11">
        <v>27.4</v>
      </c>
      <c r="H872" s="1" t="s">
        <v>0</v>
      </c>
      <c r="I872">
        <v>2.8</v>
      </c>
      <c r="J872">
        <v>31.3</v>
      </c>
      <c r="K872" t="s">
        <v>6</v>
      </c>
      <c r="L872">
        <v>25.9</v>
      </c>
      <c r="M872">
        <f t="shared" si="55"/>
        <v>1</v>
      </c>
    </row>
    <row r="873" spans="1:13" x14ac:dyDescent="0.2">
      <c r="A873" s="9">
        <v>43608</v>
      </c>
      <c r="B873">
        <f t="shared" si="52"/>
        <v>23</v>
      </c>
      <c r="C873">
        <f t="shared" si="53"/>
        <v>5</v>
      </c>
      <c r="D873">
        <f t="shared" si="54"/>
        <v>2019</v>
      </c>
      <c r="E873" s="11">
        <v>3.1309999999999998</v>
      </c>
      <c r="F873" s="11">
        <v>101.54900000000001</v>
      </c>
      <c r="G873" s="11">
        <v>27.4</v>
      </c>
      <c r="H873" s="1" t="s">
        <v>0</v>
      </c>
      <c r="I873">
        <v>55.6</v>
      </c>
      <c r="J873" t="s">
        <v>6</v>
      </c>
      <c r="K873">
        <v>23.5</v>
      </c>
      <c r="L873">
        <v>28.3</v>
      </c>
      <c r="M873">
        <f t="shared" si="55"/>
        <v>1</v>
      </c>
    </row>
    <row r="874" spans="1:13" x14ac:dyDescent="0.2">
      <c r="A874" s="9">
        <v>43609</v>
      </c>
      <c r="B874">
        <f t="shared" si="52"/>
        <v>24</v>
      </c>
      <c r="C874">
        <f t="shared" si="53"/>
        <v>5</v>
      </c>
      <c r="D874">
        <f t="shared" si="54"/>
        <v>2019</v>
      </c>
      <c r="E874" s="11">
        <v>3.1309999999999998</v>
      </c>
      <c r="F874" s="11">
        <v>101.54900000000001</v>
      </c>
      <c r="G874" s="11">
        <v>27.4</v>
      </c>
      <c r="H874" s="1" t="s">
        <v>0</v>
      </c>
      <c r="I874">
        <v>1.3</v>
      </c>
      <c r="J874">
        <v>34.4</v>
      </c>
      <c r="K874">
        <v>24.9</v>
      </c>
      <c r="L874">
        <v>27.8</v>
      </c>
      <c r="M874">
        <f t="shared" si="55"/>
        <v>1</v>
      </c>
    </row>
    <row r="875" spans="1:13" x14ac:dyDescent="0.2">
      <c r="A875" s="9">
        <v>43610</v>
      </c>
      <c r="B875">
        <f t="shared" si="52"/>
        <v>25</v>
      </c>
      <c r="C875">
        <f t="shared" si="53"/>
        <v>5</v>
      </c>
      <c r="D875">
        <f t="shared" si="54"/>
        <v>2019</v>
      </c>
      <c r="E875" s="11">
        <v>3.1309999999999998</v>
      </c>
      <c r="F875" s="11">
        <v>101.54900000000001</v>
      </c>
      <c r="G875" s="11">
        <v>27.4</v>
      </c>
      <c r="H875" s="1" t="s">
        <v>0</v>
      </c>
      <c r="I875">
        <v>47.5</v>
      </c>
      <c r="J875">
        <v>33.700000000000003</v>
      </c>
      <c r="K875">
        <v>24.3</v>
      </c>
      <c r="L875">
        <v>29.6</v>
      </c>
      <c r="M875">
        <f t="shared" si="55"/>
        <v>1</v>
      </c>
    </row>
    <row r="876" spans="1:13" x14ac:dyDescent="0.2">
      <c r="A876" s="9">
        <v>43611</v>
      </c>
      <c r="B876">
        <f t="shared" si="52"/>
        <v>26</v>
      </c>
      <c r="C876">
        <f t="shared" si="53"/>
        <v>5</v>
      </c>
      <c r="D876">
        <f t="shared" si="54"/>
        <v>2019</v>
      </c>
      <c r="E876" s="11">
        <v>3.1309999999999998</v>
      </c>
      <c r="F876" s="11">
        <v>101.54900000000001</v>
      </c>
      <c r="G876" s="11">
        <v>27.4</v>
      </c>
      <c r="H876" s="1" t="s">
        <v>0</v>
      </c>
      <c r="I876">
        <v>0</v>
      </c>
      <c r="J876">
        <v>33.4</v>
      </c>
      <c r="K876">
        <v>25.8</v>
      </c>
      <c r="L876">
        <v>28.7</v>
      </c>
      <c r="M876">
        <f t="shared" si="55"/>
        <v>0</v>
      </c>
    </row>
    <row r="877" spans="1:13" x14ac:dyDescent="0.2">
      <c r="A877" s="9">
        <v>43612</v>
      </c>
      <c r="B877">
        <f t="shared" si="52"/>
        <v>27</v>
      </c>
      <c r="C877">
        <f t="shared" si="53"/>
        <v>5</v>
      </c>
      <c r="D877">
        <f t="shared" si="54"/>
        <v>2019</v>
      </c>
      <c r="E877" s="11">
        <v>3.1309999999999998</v>
      </c>
      <c r="F877" s="11">
        <v>101.54900000000001</v>
      </c>
      <c r="G877" s="11">
        <v>27.4</v>
      </c>
      <c r="H877" s="1" t="s">
        <v>0</v>
      </c>
      <c r="I877">
        <v>0</v>
      </c>
      <c r="J877">
        <v>34.200000000000003</v>
      </c>
      <c r="K877">
        <v>25.4</v>
      </c>
      <c r="L877">
        <v>29.1</v>
      </c>
      <c r="M877">
        <f t="shared" si="55"/>
        <v>0</v>
      </c>
    </row>
    <row r="878" spans="1:13" x14ac:dyDescent="0.2">
      <c r="A878" s="9">
        <v>43613</v>
      </c>
      <c r="B878">
        <f t="shared" si="52"/>
        <v>28</v>
      </c>
      <c r="C878">
        <f t="shared" si="53"/>
        <v>5</v>
      </c>
      <c r="D878">
        <f t="shared" si="54"/>
        <v>2019</v>
      </c>
      <c r="E878" s="11">
        <v>3.1309999999999998</v>
      </c>
      <c r="F878" s="11">
        <v>101.54900000000001</v>
      </c>
      <c r="G878" s="11">
        <v>27.4</v>
      </c>
      <c r="H878" s="1" t="s">
        <v>0</v>
      </c>
      <c r="I878">
        <v>0</v>
      </c>
      <c r="J878">
        <v>35.299999999999997</v>
      </c>
      <c r="K878" t="s">
        <v>6</v>
      </c>
      <c r="L878">
        <v>29.9</v>
      </c>
      <c r="M878">
        <f t="shared" si="55"/>
        <v>0</v>
      </c>
    </row>
    <row r="879" spans="1:13" x14ac:dyDescent="0.2">
      <c r="A879" s="9">
        <v>43614</v>
      </c>
      <c r="B879">
        <f t="shared" si="52"/>
        <v>29</v>
      </c>
      <c r="C879">
        <f t="shared" si="53"/>
        <v>5</v>
      </c>
      <c r="D879">
        <f t="shared" si="54"/>
        <v>2019</v>
      </c>
      <c r="E879" s="11">
        <v>3.1309999999999998</v>
      </c>
      <c r="F879" s="11">
        <v>101.54900000000001</v>
      </c>
      <c r="G879" s="11">
        <v>27.4</v>
      </c>
      <c r="H879" s="1" t="s">
        <v>0</v>
      </c>
      <c r="I879">
        <v>0</v>
      </c>
      <c r="J879">
        <v>34.299999999999997</v>
      </c>
      <c r="K879" t="s">
        <v>6</v>
      </c>
      <c r="L879">
        <v>28.6</v>
      </c>
      <c r="M879">
        <f t="shared" si="55"/>
        <v>0</v>
      </c>
    </row>
    <row r="880" spans="1:13" x14ac:dyDescent="0.2">
      <c r="A880" s="9">
        <v>43615</v>
      </c>
      <c r="B880">
        <f t="shared" si="52"/>
        <v>30</v>
      </c>
      <c r="C880">
        <f t="shared" si="53"/>
        <v>5</v>
      </c>
      <c r="D880">
        <f t="shared" si="54"/>
        <v>2019</v>
      </c>
      <c r="E880" s="11">
        <v>3.1309999999999998</v>
      </c>
      <c r="F880" s="11">
        <v>101.54900000000001</v>
      </c>
      <c r="G880" s="11">
        <v>27.4</v>
      </c>
      <c r="H880" s="1" t="s">
        <v>0</v>
      </c>
      <c r="I880">
        <v>41.1</v>
      </c>
      <c r="J880">
        <v>33.9</v>
      </c>
      <c r="K880">
        <v>24.4</v>
      </c>
      <c r="L880">
        <v>27.8</v>
      </c>
      <c r="M880">
        <f t="shared" si="55"/>
        <v>1</v>
      </c>
    </row>
    <row r="881" spans="1:13" x14ac:dyDescent="0.2">
      <c r="A881" s="9">
        <v>43616</v>
      </c>
      <c r="B881">
        <f t="shared" si="52"/>
        <v>31</v>
      </c>
      <c r="C881">
        <f t="shared" si="53"/>
        <v>5</v>
      </c>
      <c r="D881">
        <f t="shared" si="54"/>
        <v>2019</v>
      </c>
      <c r="E881" s="11">
        <v>3.1309999999999998</v>
      </c>
      <c r="F881" s="11">
        <v>101.54900000000001</v>
      </c>
      <c r="G881" s="11">
        <v>27.4</v>
      </c>
      <c r="H881" s="1" t="s">
        <v>0</v>
      </c>
      <c r="I881">
        <v>13.7</v>
      </c>
      <c r="J881">
        <v>34.200000000000003</v>
      </c>
      <c r="K881" t="s">
        <v>6</v>
      </c>
      <c r="L881">
        <v>28.4</v>
      </c>
      <c r="M881">
        <f t="shared" si="55"/>
        <v>1</v>
      </c>
    </row>
    <row r="882" spans="1:13" x14ac:dyDescent="0.2">
      <c r="A882" s="9">
        <v>43617</v>
      </c>
      <c r="B882">
        <f t="shared" si="52"/>
        <v>1</v>
      </c>
      <c r="C882">
        <f t="shared" si="53"/>
        <v>6</v>
      </c>
      <c r="D882">
        <f t="shared" si="54"/>
        <v>2019</v>
      </c>
      <c r="E882" s="11">
        <v>3.1309999999999998</v>
      </c>
      <c r="F882" s="11">
        <v>101.54900000000001</v>
      </c>
      <c r="G882" s="11">
        <v>27.4</v>
      </c>
      <c r="H882" s="1" t="s">
        <v>0</v>
      </c>
      <c r="I882">
        <v>6.9</v>
      </c>
      <c r="J882">
        <v>33.299999999999997</v>
      </c>
      <c r="K882" t="s">
        <v>6</v>
      </c>
      <c r="L882">
        <v>27.1</v>
      </c>
      <c r="M882">
        <f t="shared" si="55"/>
        <v>1</v>
      </c>
    </row>
    <row r="883" spans="1:13" x14ac:dyDescent="0.2">
      <c r="A883" s="9">
        <v>43618</v>
      </c>
      <c r="B883">
        <f t="shared" si="52"/>
        <v>2</v>
      </c>
      <c r="C883">
        <f t="shared" si="53"/>
        <v>6</v>
      </c>
      <c r="D883">
        <f t="shared" si="54"/>
        <v>2019</v>
      </c>
      <c r="E883" s="11">
        <v>3.1309999999999998</v>
      </c>
      <c r="F883" s="11">
        <v>101.54900000000001</v>
      </c>
      <c r="G883" s="11">
        <v>27.4</v>
      </c>
      <c r="H883" s="1" t="s">
        <v>0</v>
      </c>
      <c r="I883">
        <v>51.3</v>
      </c>
      <c r="J883">
        <v>32.700000000000003</v>
      </c>
      <c r="K883">
        <v>24.6</v>
      </c>
      <c r="L883">
        <v>27.8</v>
      </c>
      <c r="M883">
        <f t="shared" si="55"/>
        <v>1</v>
      </c>
    </row>
    <row r="884" spans="1:13" x14ac:dyDescent="0.2">
      <c r="A884" s="9">
        <v>43619</v>
      </c>
      <c r="B884">
        <f t="shared" si="52"/>
        <v>3</v>
      </c>
      <c r="C884">
        <f t="shared" si="53"/>
        <v>6</v>
      </c>
      <c r="D884">
        <f t="shared" si="54"/>
        <v>2019</v>
      </c>
      <c r="E884" s="11">
        <v>3.1309999999999998</v>
      </c>
      <c r="F884" s="11">
        <v>101.54900000000001</v>
      </c>
      <c r="G884" s="11">
        <v>27.4</v>
      </c>
      <c r="H884" s="1" t="s">
        <v>0</v>
      </c>
      <c r="I884">
        <v>5.6</v>
      </c>
      <c r="J884">
        <v>30.2</v>
      </c>
      <c r="K884">
        <v>25.6</v>
      </c>
      <c r="L884">
        <v>27</v>
      </c>
      <c r="M884">
        <f t="shared" si="55"/>
        <v>1</v>
      </c>
    </row>
    <row r="885" spans="1:13" x14ac:dyDescent="0.2">
      <c r="A885" s="9">
        <v>43620</v>
      </c>
      <c r="B885">
        <f t="shared" si="52"/>
        <v>4</v>
      </c>
      <c r="C885">
        <f t="shared" si="53"/>
        <v>6</v>
      </c>
      <c r="D885">
        <f t="shared" si="54"/>
        <v>2019</v>
      </c>
      <c r="E885" s="11">
        <v>3.1309999999999998</v>
      </c>
      <c r="F885" s="11">
        <v>101.54900000000001</v>
      </c>
      <c r="G885" s="11">
        <v>27.4</v>
      </c>
      <c r="H885" s="1" t="s">
        <v>0</v>
      </c>
      <c r="I885">
        <v>8.4</v>
      </c>
      <c r="J885">
        <v>34.5</v>
      </c>
      <c r="K885" t="s">
        <v>6</v>
      </c>
      <c r="L885">
        <v>27.9</v>
      </c>
      <c r="M885">
        <f t="shared" si="55"/>
        <v>1</v>
      </c>
    </row>
    <row r="886" spans="1:13" x14ac:dyDescent="0.2">
      <c r="A886" s="9">
        <v>43621</v>
      </c>
      <c r="B886">
        <f t="shared" si="52"/>
        <v>5</v>
      </c>
      <c r="C886">
        <f t="shared" si="53"/>
        <v>6</v>
      </c>
      <c r="D886">
        <f t="shared" si="54"/>
        <v>2019</v>
      </c>
      <c r="E886" s="11">
        <v>3.1309999999999998</v>
      </c>
      <c r="F886" s="11">
        <v>101.54900000000001</v>
      </c>
      <c r="G886" s="11">
        <v>27.4</v>
      </c>
      <c r="H886" s="1" t="s">
        <v>0</v>
      </c>
      <c r="I886">
        <v>9.1</v>
      </c>
      <c r="J886">
        <v>32</v>
      </c>
      <c r="K886">
        <v>25.1</v>
      </c>
      <c r="L886">
        <v>27.3</v>
      </c>
      <c r="M886">
        <f t="shared" si="55"/>
        <v>1</v>
      </c>
    </row>
    <row r="887" spans="1:13" x14ac:dyDescent="0.2">
      <c r="A887" s="9">
        <v>43622</v>
      </c>
      <c r="B887">
        <f t="shared" si="52"/>
        <v>6</v>
      </c>
      <c r="C887">
        <f t="shared" si="53"/>
        <v>6</v>
      </c>
      <c r="D887">
        <f t="shared" si="54"/>
        <v>2019</v>
      </c>
      <c r="E887" s="11">
        <v>3.1309999999999998</v>
      </c>
      <c r="F887" s="11">
        <v>101.54900000000001</v>
      </c>
      <c r="G887" s="11">
        <v>27.4</v>
      </c>
      <c r="H887" s="1" t="s">
        <v>0</v>
      </c>
      <c r="I887">
        <v>0</v>
      </c>
      <c r="J887">
        <v>29.5</v>
      </c>
      <c r="K887" t="s">
        <v>6</v>
      </c>
      <c r="L887">
        <v>25.8</v>
      </c>
      <c r="M887">
        <f t="shared" si="55"/>
        <v>0</v>
      </c>
    </row>
    <row r="888" spans="1:13" x14ac:dyDescent="0.2">
      <c r="A888" s="9">
        <v>43623</v>
      </c>
      <c r="B888">
        <f t="shared" si="52"/>
        <v>7</v>
      </c>
      <c r="C888">
        <f t="shared" si="53"/>
        <v>6</v>
      </c>
      <c r="D888">
        <f t="shared" si="54"/>
        <v>2019</v>
      </c>
      <c r="E888" s="11">
        <v>3.1309999999999998</v>
      </c>
      <c r="F888" s="11">
        <v>101.54900000000001</v>
      </c>
      <c r="G888" s="11">
        <v>27.4</v>
      </c>
      <c r="H888" s="1" t="s">
        <v>0</v>
      </c>
      <c r="I888">
        <v>20.8</v>
      </c>
      <c r="J888">
        <v>32.5</v>
      </c>
      <c r="K888">
        <v>24</v>
      </c>
      <c r="L888">
        <v>28.4</v>
      </c>
      <c r="M888">
        <f t="shared" si="55"/>
        <v>1</v>
      </c>
    </row>
    <row r="889" spans="1:13" x14ac:dyDescent="0.2">
      <c r="A889" s="9">
        <v>43624</v>
      </c>
      <c r="B889">
        <f t="shared" si="52"/>
        <v>8</v>
      </c>
      <c r="C889">
        <f t="shared" si="53"/>
        <v>6</v>
      </c>
      <c r="D889">
        <f t="shared" si="54"/>
        <v>2019</v>
      </c>
      <c r="E889" s="11">
        <v>3.1309999999999998</v>
      </c>
      <c r="F889" s="11">
        <v>101.54900000000001</v>
      </c>
      <c r="G889" s="11">
        <v>27.4</v>
      </c>
      <c r="H889" s="1" t="s">
        <v>0</v>
      </c>
      <c r="I889">
        <v>0.3</v>
      </c>
      <c r="J889">
        <v>33.4</v>
      </c>
      <c r="K889">
        <v>24.3</v>
      </c>
      <c r="L889">
        <v>28.8</v>
      </c>
      <c r="M889">
        <f t="shared" si="55"/>
        <v>1</v>
      </c>
    </row>
    <row r="890" spans="1:13" x14ac:dyDescent="0.2">
      <c r="A890" s="9">
        <v>43625</v>
      </c>
      <c r="B890">
        <f t="shared" si="52"/>
        <v>9</v>
      </c>
      <c r="C890">
        <f t="shared" si="53"/>
        <v>6</v>
      </c>
      <c r="D890">
        <f t="shared" si="54"/>
        <v>2019</v>
      </c>
      <c r="E890" s="11">
        <v>3.1309999999999998</v>
      </c>
      <c r="F890" s="11">
        <v>101.54900000000001</v>
      </c>
      <c r="G890" s="11">
        <v>27.4</v>
      </c>
      <c r="H890" s="1" t="s">
        <v>0</v>
      </c>
      <c r="I890">
        <v>0</v>
      </c>
      <c r="J890">
        <v>32.9</v>
      </c>
      <c r="K890">
        <v>25.9</v>
      </c>
      <c r="L890">
        <v>29.2</v>
      </c>
      <c r="M890">
        <f t="shared" si="55"/>
        <v>0</v>
      </c>
    </row>
    <row r="891" spans="1:13" x14ac:dyDescent="0.2">
      <c r="A891" s="9">
        <v>43626</v>
      </c>
      <c r="B891">
        <f t="shared" si="52"/>
        <v>10</v>
      </c>
      <c r="C891">
        <f t="shared" si="53"/>
        <v>6</v>
      </c>
      <c r="D891">
        <f t="shared" si="54"/>
        <v>2019</v>
      </c>
      <c r="E891" s="11">
        <v>3.1309999999999998</v>
      </c>
      <c r="F891" s="11">
        <v>101.54900000000001</v>
      </c>
      <c r="G891" s="11">
        <v>27.4</v>
      </c>
      <c r="H891" s="1" t="s">
        <v>0</v>
      </c>
      <c r="I891">
        <v>0</v>
      </c>
      <c r="J891">
        <v>34.200000000000003</v>
      </c>
      <c r="K891">
        <v>26.5</v>
      </c>
      <c r="L891">
        <v>30.2</v>
      </c>
      <c r="M891">
        <f t="shared" si="55"/>
        <v>0</v>
      </c>
    </row>
    <row r="892" spans="1:13" x14ac:dyDescent="0.2">
      <c r="A892" s="9">
        <v>43627</v>
      </c>
      <c r="B892">
        <f t="shared" si="52"/>
        <v>11</v>
      </c>
      <c r="C892">
        <f t="shared" si="53"/>
        <v>6</v>
      </c>
      <c r="D892">
        <f t="shared" si="54"/>
        <v>2019</v>
      </c>
      <c r="E892" s="11">
        <v>3.1309999999999998</v>
      </c>
      <c r="F892" s="11">
        <v>101.54900000000001</v>
      </c>
      <c r="G892" s="11">
        <v>27.4</v>
      </c>
      <c r="H892" s="1" t="s">
        <v>0</v>
      </c>
      <c r="I892">
        <v>0</v>
      </c>
      <c r="J892">
        <v>33.299999999999997</v>
      </c>
      <c r="K892" t="s">
        <v>6</v>
      </c>
      <c r="L892">
        <v>27.4</v>
      </c>
      <c r="M892">
        <f t="shared" si="55"/>
        <v>0</v>
      </c>
    </row>
    <row r="893" spans="1:13" x14ac:dyDescent="0.2">
      <c r="A893" s="9">
        <v>43628</v>
      </c>
      <c r="B893">
        <f t="shared" si="52"/>
        <v>12</v>
      </c>
      <c r="C893">
        <f t="shared" si="53"/>
        <v>6</v>
      </c>
      <c r="D893">
        <f t="shared" si="54"/>
        <v>2019</v>
      </c>
      <c r="E893" s="11">
        <v>3.1309999999999998</v>
      </c>
      <c r="F893" s="11">
        <v>101.54900000000001</v>
      </c>
      <c r="G893" s="11">
        <v>27.4</v>
      </c>
      <c r="H893" s="1" t="s">
        <v>0</v>
      </c>
      <c r="I893">
        <v>4.8</v>
      </c>
      <c r="J893" t="s">
        <v>6</v>
      </c>
      <c r="K893" t="s">
        <v>6</v>
      </c>
      <c r="L893">
        <v>28.8</v>
      </c>
      <c r="M893">
        <f t="shared" si="55"/>
        <v>1</v>
      </c>
    </row>
    <row r="894" spans="1:13" x14ac:dyDescent="0.2">
      <c r="A894" s="9">
        <v>43629</v>
      </c>
      <c r="B894">
        <f t="shared" si="52"/>
        <v>13</v>
      </c>
      <c r="C894">
        <f t="shared" si="53"/>
        <v>6</v>
      </c>
      <c r="D894">
        <f t="shared" si="54"/>
        <v>2019</v>
      </c>
      <c r="E894" s="11">
        <v>3.1309999999999998</v>
      </c>
      <c r="F894" s="11">
        <v>101.54900000000001</v>
      </c>
      <c r="G894" s="11">
        <v>27.4</v>
      </c>
      <c r="H894" s="1" t="s">
        <v>0</v>
      </c>
      <c r="I894">
        <v>0</v>
      </c>
      <c r="J894">
        <v>33.4</v>
      </c>
      <c r="K894" t="s">
        <v>6</v>
      </c>
      <c r="L894">
        <v>29.8</v>
      </c>
      <c r="M894">
        <f t="shared" si="55"/>
        <v>0</v>
      </c>
    </row>
    <row r="895" spans="1:13" x14ac:dyDescent="0.2">
      <c r="A895" s="9">
        <v>43630</v>
      </c>
      <c r="B895">
        <f t="shared" si="52"/>
        <v>14</v>
      </c>
      <c r="C895">
        <f t="shared" si="53"/>
        <v>6</v>
      </c>
      <c r="D895">
        <f t="shared" si="54"/>
        <v>2019</v>
      </c>
      <c r="E895" s="11">
        <v>3.1309999999999998</v>
      </c>
      <c r="F895" s="11">
        <v>101.54900000000001</v>
      </c>
      <c r="G895" s="11">
        <v>27.4</v>
      </c>
      <c r="H895" s="1" t="s">
        <v>0</v>
      </c>
      <c r="I895">
        <v>0</v>
      </c>
      <c r="J895" t="s">
        <v>6</v>
      </c>
      <c r="K895" t="s">
        <v>6</v>
      </c>
      <c r="L895">
        <v>28.7</v>
      </c>
      <c r="M895">
        <f t="shared" si="55"/>
        <v>0</v>
      </c>
    </row>
    <row r="896" spans="1:13" x14ac:dyDescent="0.2">
      <c r="A896" s="9">
        <v>43631</v>
      </c>
      <c r="B896">
        <f t="shared" si="52"/>
        <v>15</v>
      </c>
      <c r="C896">
        <f t="shared" si="53"/>
        <v>6</v>
      </c>
      <c r="D896">
        <f t="shared" si="54"/>
        <v>2019</v>
      </c>
      <c r="E896" s="11">
        <v>3.1309999999999998</v>
      </c>
      <c r="F896" s="11">
        <v>101.54900000000001</v>
      </c>
      <c r="G896" s="11">
        <v>27.4</v>
      </c>
      <c r="H896" s="1" t="s">
        <v>0</v>
      </c>
      <c r="I896">
        <v>40.1</v>
      </c>
      <c r="J896">
        <v>33.6</v>
      </c>
      <c r="K896">
        <v>23.1</v>
      </c>
      <c r="L896">
        <v>28.6</v>
      </c>
      <c r="M896">
        <f t="shared" si="55"/>
        <v>1</v>
      </c>
    </row>
    <row r="897" spans="1:13" x14ac:dyDescent="0.2">
      <c r="A897" s="9">
        <v>43632</v>
      </c>
      <c r="B897">
        <f t="shared" si="52"/>
        <v>16</v>
      </c>
      <c r="C897">
        <f t="shared" si="53"/>
        <v>6</v>
      </c>
      <c r="D897">
        <f t="shared" si="54"/>
        <v>2019</v>
      </c>
      <c r="E897" s="11">
        <v>3.1309999999999998</v>
      </c>
      <c r="F897" s="11">
        <v>101.54900000000001</v>
      </c>
      <c r="G897" s="11">
        <v>27.4</v>
      </c>
      <c r="H897" s="1" t="s">
        <v>0</v>
      </c>
      <c r="I897">
        <v>0</v>
      </c>
      <c r="J897">
        <v>34.1</v>
      </c>
      <c r="K897">
        <v>23.8</v>
      </c>
      <c r="L897">
        <v>29.4</v>
      </c>
      <c r="M897">
        <f t="shared" si="55"/>
        <v>0</v>
      </c>
    </row>
    <row r="898" spans="1:13" x14ac:dyDescent="0.2">
      <c r="A898" s="9">
        <v>43633</v>
      </c>
      <c r="B898">
        <f t="shared" si="52"/>
        <v>17</v>
      </c>
      <c r="C898">
        <f t="shared" si="53"/>
        <v>6</v>
      </c>
      <c r="D898">
        <f t="shared" si="54"/>
        <v>2019</v>
      </c>
      <c r="E898" s="11">
        <v>3.1309999999999998</v>
      </c>
      <c r="F898" s="11">
        <v>101.54900000000001</v>
      </c>
      <c r="G898" s="11">
        <v>27.4</v>
      </c>
      <c r="H898" s="1" t="s">
        <v>0</v>
      </c>
      <c r="I898">
        <v>0</v>
      </c>
      <c r="J898">
        <v>33.4</v>
      </c>
      <c r="K898" t="s">
        <v>6</v>
      </c>
      <c r="L898">
        <v>29.5</v>
      </c>
      <c r="M898">
        <f t="shared" si="55"/>
        <v>0</v>
      </c>
    </row>
    <row r="899" spans="1:13" x14ac:dyDescent="0.2">
      <c r="A899" s="9">
        <v>43634</v>
      </c>
      <c r="B899">
        <f t="shared" ref="B899:B962" si="56">DAY(A899)</f>
        <v>18</v>
      </c>
      <c r="C899">
        <f t="shared" ref="C899:C962" si="57">MONTH(A899)</f>
        <v>6</v>
      </c>
      <c r="D899">
        <f t="shared" ref="D899:D962" si="58">YEAR(A899)</f>
        <v>2019</v>
      </c>
      <c r="E899" s="11">
        <v>3.1309999999999998</v>
      </c>
      <c r="F899" s="11">
        <v>101.54900000000001</v>
      </c>
      <c r="G899" s="11">
        <v>27.4</v>
      </c>
      <c r="H899" s="1" t="s">
        <v>0</v>
      </c>
      <c r="I899">
        <v>0</v>
      </c>
      <c r="J899" t="s">
        <v>6</v>
      </c>
      <c r="K899">
        <v>25.4</v>
      </c>
      <c r="L899">
        <v>29.1</v>
      </c>
      <c r="M899">
        <f t="shared" ref="M899:M962" si="59">IF(ISNUMBER(I899), IF(I899&gt;0, 1, 0), "")</f>
        <v>0</v>
      </c>
    </row>
    <row r="900" spans="1:13" x14ac:dyDescent="0.2">
      <c r="A900" s="9">
        <v>43635</v>
      </c>
      <c r="B900">
        <f t="shared" si="56"/>
        <v>19</v>
      </c>
      <c r="C900">
        <f t="shared" si="57"/>
        <v>6</v>
      </c>
      <c r="D900">
        <f t="shared" si="58"/>
        <v>2019</v>
      </c>
      <c r="E900" s="11">
        <v>3.1309999999999998</v>
      </c>
      <c r="F900" s="11">
        <v>101.54900000000001</v>
      </c>
      <c r="G900" s="11">
        <v>27.4</v>
      </c>
      <c r="H900" s="1" t="s">
        <v>0</v>
      </c>
      <c r="I900">
        <v>0</v>
      </c>
      <c r="J900">
        <v>33.6</v>
      </c>
      <c r="K900">
        <v>26.3</v>
      </c>
      <c r="L900">
        <v>29.9</v>
      </c>
      <c r="M900">
        <f t="shared" si="59"/>
        <v>0</v>
      </c>
    </row>
    <row r="901" spans="1:13" x14ac:dyDescent="0.2">
      <c r="A901" s="9">
        <v>43636</v>
      </c>
      <c r="B901">
        <f t="shared" si="56"/>
        <v>20</v>
      </c>
      <c r="C901">
        <f t="shared" si="57"/>
        <v>6</v>
      </c>
      <c r="D901">
        <f t="shared" si="58"/>
        <v>2019</v>
      </c>
      <c r="E901" s="11">
        <v>3.1309999999999998</v>
      </c>
      <c r="F901" s="11">
        <v>101.54900000000001</v>
      </c>
      <c r="G901" s="11">
        <v>27.4</v>
      </c>
      <c r="H901" s="1" t="s">
        <v>0</v>
      </c>
      <c r="I901">
        <v>0</v>
      </c>
      <c r="J901">
        <v>33.4</v>
      </c>
      <c r="K901" t="s">
        <v>6</v>
      </c>
      <c r="L901">
        <v>27.7</v>
      </c>
      <c r="M901">
        <f t="shared" si="59"/>
        <v>0</v>
      </c>
    </row>
    <row r="902" spans="1:13" x14ac:dyDescent="0.2">
      <c r="A902" s="9">
        <v>43637</v>
      </c>
      <c r="B902">
        <f t="shared" si="56"/>
        <v>21</v>
      </c>
      <c r="C902">
        <f t="shared" si="57"/>
        <v>6</v>
      </c>
      <c r="D902">
        <f t="shared" si="58"/>
        <v>2019</v>
      </c>
      <c r="E902" s="11">
        <v>3.1309999999999998</v>
      </c>
      <c r="F902" s="11">
        <v>101.54900000000001</v>
      </c>
      <c r="G902" s="11">
        <v>27.4</v>
      </c>
      <c r="H902" s="1" t="s">
        <v>0</v>
      </c>
      <c r="I902">
        <v>9.9</v>
      </c>
      <c r="J902">
        <v>32.1</v>
      </c>
      <c r="K902" t="s">
        <v>6</v>
      </c>
      <c r="L902">
        <v>27.9</v>
      </c>
      <c r="M902">
        <f t="shared" si="59"/>
        <v>1</v>
      </c>
    </row>
    <row r="903" spans="1:13" x14ac:dyDescent="0.2">
      <c r="A903" s="9">
        <v>43638</v>
      </c>
      <c r="B903">
        <f t="shared" si="56"/>
        <v>22</v>
      </c>
      <c r="C903">
        <f t="shared" si="57"/>
        <v>6</v>
      </c>
      <c r="D903">
        <f t="shared" si="58"/>
        <v>2019</v>
      </c>
      <c r="E903" s="11">
        <v>3.1309999999999998</v>
      </c>
      <c r="F903" s="11">
        <v>101.54900000000001</v>
      </c>
      <c r="G903" s="11">
        <v>27.4</v>
      </c>
      <c r="H903" s="1" t="s">
        <v>0</v>
      </c>
      <c r="I903">
        <v>44.5</v>
      </c>
      <c r="J903" t="s">
        <v>6</v>
      </c>
      <c r="K903">
        <v>23.4</v>
      </c>
      <c r="L903">
        <v>27.7</v>
      </c>
      <c r="M903">
        <f t="shared" si="59"/>
        <v>1</v>
      </c>
    </row>
    <row r="904" spans="1:13" x14ac:dyDescent="0.2">
      <c r="A904" s="9">
        <v>43639</v>
      </c>
      <c r="B904">
        <f t="shared" si="56"/>
        <v>23</v>
      </c>
      <c r="C904">
        <f t="shared" si="57"/>
        <v>6</v>
      </c>
      <c r="D904">
        <f t="shared" si="58"/>
        <v>2019</v>
      </c>
      <c r="E904" s="11">
        <v>3.1309999999999998</v>
      </c>
      <c r="F904" s="11">
        <v>101.54900000000001</v>
      </c>
      <c r="G904" s="11">
        <v>27.4</v>
      </c>
      <c r="H904" s="1" t="s">
        <v>0</v>
      </c>
      <c r="I904">
        <v>1.5</v>
      </c>
      <c r="J904">
        <v>32.1</v>
      </c>
      <c r="K904">
        <v>23.5</v>
      </c>
      <c r="L904">
        <v>28.2</v>
      </c>
      <c r="M904">
        <f t="shared" si="59"/>
        <v>1</v>
      </c>
    </row>
    <row r="905" spans="1:13" x14ac:dyDescent="0.2">
      <c r="A905" s="9">
        <v>43640</v>
      </c>
      <c r="B905">
        <f t="shared" si="56"/>
        <v>24</v>
      </c>
      <c r="C905">
        <f t="shared" si="57"/>
        <v>6</v>
      </c>
      <c r="D905">
        <f t="shared" si="58"/>
        <v>2019</v>
      </c>
      <c r="E905" s="11">
        <v>3.1309999999999998</v>
      </c>
      <c r="F905" s="11">
        <v>101.54900000000001</v>
      </c>
      <c r="G905" s="11">
        <v>27.4</v>
      </c>
      <c r="H905" s="1" t="s">
        <v>0</v>
      </c>
      <c r="I905">
        <v>1.8</v>
      </c>
      <c r="J905">
        <v>33.6</v>
      </c>
      <c r="K905">
        <v>26.1</v>
      </c>
      <c r="L905">
        <v>29.9</v>
      </c>
      <c r="M905">
        <f t="shared" si="59"/>
        <v>1</v>
      </c>
    </row>
    <row r="906" spans="1:13" x14ac:dyDescent="0.2">
      <c r="A906" s="9">
        <v>43641</v>
      </c>
      <c r="B906">
        <f t="shared" si="56"/>
        <v>25</v>
      </c>
      <c r="C906">
        <f t="shared" si="57"/>
        <v>6</v>
      </c>
      <c r="D906">
        <f t="shared" si="58"/>
        <v>2019</v>
      </c>
      <c r="E906" s="11">
        <v>3.1309999999999998</v>
      </c>
      <c r="F906" s="11">
        <v>101.54900000000001</v>
      </c>
      <c r="G906" s="11">
        <v>27.4</v>
      </c>
      <c r="H906" s="1" t="s">
        <v>0</v>
      </c>
      <c r="I906">
        <v>0</v>
      </c>
      <c r="J906" t="s">
        <v>6</v>
      </c>
      <c r="K906" t="s">
        <v>6</v>
      </c>
      <c r="L906">
        <v>29.5</v>
      </c>
      <c r="M906">
        <f t="shared" si="59"/>
        <v>0</v>
      </c>
    </row>
    <row r="907" spans="1:13" x14ac:dyDescent="0.2">
      <c r="A907" s="9">
        <v>43642</v>
      </c>
      <c r="B907">
        <f t="shared" si="56"/>
        <v>26</v>
      </c>
      <c r="C907">
        <f t="shared" si="57"/>
        <v>6</v>
      </c>
      <c r="D907">
        <f t="shared" si="58"/>
        <v>2019</v>
      </c>
      <c r="E907" s="11">
        <v>3.1309999999999998</v>
      </c>
      <c r="F907" s="11">
        <v>101.54900000000001</v>
      </c>
      <c r="G907" s="11">
        <v>27.4</v>
      </c>
      <c r="H907" s="1" t="s">
        <v>0</v>
      </c>
      <c r="I907">
        <v>5.0999999999999996</v>
      </c>
      <c r="J907">
        <v>33.799999999999997</v>
      </c>
      <c r="K907">
        <v>22.6</v>
      </c>
      <c r="L907">
        <v>28.3</v>
      </c>
      <c r="M907">
        <f t="shared" si="59"/>
        <v>1</v>
      </c>
    </row>
    <row r="908" spans="1:13" x14ac:dyDescent="0.2">
      <c r="A908" s="9">
        <v>43643</v>
      </c>
      <c r="B908">
        <f t="shared" si="56"/>
        <v>27</v>
      </c>
      <c r="C908">
        <f t="shared" si="57"/>
        <v>6</v>
      </c>
      <c r="D908">
        <f t="shared" si="58"/>
        <v>2019</v>
      </c>
      <c r="E908" s="11">
        <v>3.1309999999999998</v>
      </c>
      <c r="F908" s="11">
        <v>101.54900000000001</v>
      </c>
      <c r="G908" s="11">
        <v>27.4</v>
      </c>
      <c r="H908" s="1" t="s">
        <v>0</v>
      </c>
      <c r="I908">
        <v>0</v>
      </c>
      <c r="J908" t="s">
        <v>6</v>
      </c>
      <c r="K908">
        <v>23.3</v>
      </c>
      <c r="L908">
        <v>29.7</v>
      </c>
      <c r="M908">
        <f t="shared" si="59"/>
        <v>0</v>
      </c>
    </row>
    <row r="909" spans="1:13" x14ac:dyDescent="0.2">
      <c r="A909" s="9">
        <v>43644</v>
      </c>
      <c r="B909">
        <f t="shared" si="56"/>
        <v>28</v>
      </c>
      <c r="C909">
        <f t="shared" si="57"/>
        <v>6</v>
      </c>
      <c r="D909">
        <f t="shared" si="58"/>
        <v>2019</v>
      </c>
      <c r="E909" s="11">
        <v>3.1309999999999998</v>
      </c>
      <c r="F909" s="11">
        <v>101.54900000000001</v>
      </c>
      <c r="G909" s="11">
        <v>27.4</v>
      </c>
      <c r="H909" s="1" t="s">
        <v>0</v>
      </c>
      <c r="I909">
        <v>11.9</v>
      </c>
      <c r="J909">
        <v>32.5</v>
      </c>
      <c r="K909">
        <v>24.8</v>
      </c>
      <c r="L909">
        <v>28</v>
      </c>
      <c r="M909">
        <f t="shared" si="59"/>
        <v>1</v>
      </c>
    </row>
    <row r="910" spans="1:13" x14ac:dyDescent="0.2">
      <c r="A910" s="9">
        <v>43645</v>
      </c>
      <c r="B910">
        <f t="shared" si="56"/>
        <v>29</v>
      </c>
      <c r="C910">
        <f t="shared" si="57"/>
        <v>6</v>
      </c>
      <c r="D910">
        <f t="shared" si="58"/>
        <v>2019</v>
      </c>
      <c r="E910" s="11">
        <v>3.1309999999999998</v>
      </c>
      <c r="F910" s="11">
        <v>101.54900000000001</v>
      </c>
      <c r="G910" s="11">
        <v>27.4</v>
      </c>
      <c r="H910" s="1" t="s">
        <v>0</v>
      </c>
      <c r="I910">
        <v>8.6</v>
      </c>
      <c r="J910">
        <v>31.7</v>
      </c>
      <c r="K910" t="s">
        <v>6</v>
      </c>
      <c r="L910">
        <v>28.1</v>
      </c>
      <c r="M910">
        <f t="shared" si="59"/>
        <v>1</v>
      </c>
    </row>
    <row r="911" spans="1:13" x14ac:dyDescent="0.2">
      <c r="A911" s="9">
        <v>43646</v>
      </c>
      <c r="B911">
        <f t="shared" si="56"/>
        <v>30</v>
      </c>
      <c r="C911">
        <f t="shared" si="57"/>
        <v>6</v>
      </c>
      <c r="D911">
        <f t="shared" si="58"/>
        <v>2019</v>
      </c>
      <c r="E911" s="11">
        <v>3.1309999999999998</v>
      </c>
      <c r="F911" s="11">
        <v>101.54900000000001</v>
      </c>
      <c r="G911" s="11">
        <v>27.4</v>
      </c>
      <c r="H911" s="1" t="s">
        <v>0</v>
      </c>
      <c r="I911">
        <v>1.3</v>
      </c>
      <c r="J911" t="s">
        <v>6</v>
      </c>
      <c r="K911">
        <v>24.9</v>
      </c>
      <c r="L911">
        <v>29.3</v>
      </c>
      <c r="M911">
        <f t="shared" si="59"/>
        <v>1</v>
      </c>
    </row>
    <row r="912" spans="1:13" x14ac:dyDescent="0.2">
      <c r="A912" s="9">
        <v>43647</v>
      </c>
      <c r="B912">
        <f t="shared" si="56"/>
        <v>1</v>
      </c>
      <c r="C912">
        <f t="shared" si="57"/>
        <v>7</v>
      </c>
      <c r="D912">
        <f t="shared" si="58"/>
        <v>2019</v>
      </c>
      <c r="E912" s="11">
        <v>3.1309999999999998</v>
      </c>
      <c r="F912" s="11">
        <v>101.54900000000001</v>
      </c>
      <c r="G912" s="11">
        <v>27.4</v>
      </c>
      <c r="H912" s="1" t="s">
        <v>0</v>
      </c>
      <c r="I912">
        <v>0</v>
      </c>
      <c r="J912">
        <v>33.200000000000003</v>
      </c>
      <c r="K912">
        <v>25.3</v>
      </c>
      <c r="L912">
        <v>29.6</v>
      </c>
      <c r="M912">
        <f t="shared" si="59"/>
        <v>0</v>
      </c>
    </row>
    <row r="913" spans="1:13" x14ac:dyDescent="0.2">
      <c r="A913" s="9">
        <v>43648</v>
      </c>
      <c r="B913">
        <f t="shared" si="56"/>
        <v>2</v>
      </c>
      <c r="C913">
        <f t="shared" si="57"/>
        <v>7</v>
      </c>
      <c r="D913">
        <f t="shared" si="58"/>
        <v>2019</v>
      </c>
      <c r="E913" s="11">
        <v>3.1309999999999998</v>
      </c>
      <c r="F913" s="11">
        <v>101.54900000000001</v>
      </c>
      <c r="G913" s="11">
        <v>27.4</v>
      </c>
      <c r="H913" s="1" t="s">
        <v>0</v>
      </c>
      <c r="I913">
        <v>0</v>
      </c>
      <c r="J913">
        <v>33.6</v>
      </c>
      <c r="K913">
        <v>25.9</v>
      </c>
      <c r="L913">
        <v>29.2</v>
      </c>
      <c r="M913">
        <f t="shared" si="59"/>
        <v>0</v>
      </c>
    </row>
    <row r="914" spans="1:13" x14ac:dyDescent="0.2">
      <c r="A914" s="9">
        <v>43649</v>
      </c>
      <c r="B914">
        <f t="shared" si="56"/>
        <v>3</v>
      </c>
      <c r="C914">
        <f t="shared" si="57"/>
        <v>7</v>
      </c>
      <c r="D914">
        <f t="shared" si="58"/>
        <v>2019</v>
      </c>
      <c r="E914" s="11">
        <v>3.1309999999999998</v>
      </c>
      <c r="F914" s="11">
        <v>101.54900000000001</v>
      </c>
      <c r="G914" s="11">
        <v>27.4</v>
      </c>
      <c r="H914" s="1" t="s">
        <v>0</v>
      </c>
      <c r="I914">
        <v>0</v>
      </c>
      <c r="J914">
        <v>33.1</v>
      </c>
      <c r="K914">
        <v>26</v>
      </c>
      <c r="L914">
        <v>28.6</v>
      </c>
      <c r="M914">
        <f t="shared" si="59"/>
        <v>0</v>
      </c>
    </row>
    <row r="915" spans="1:13" x14ac:dyDescent="0.2">
      <c r="A915" s="9">
        <v>43650</v>
      </c>
      <c r="B915">
        <f t="shared" si="56"/>
        <v>4</v>
      </c>
      <c r="C915">
        <f t="shared" si="57"/>
        <v>7</v>
      </c>
      <c r="D915">
        <f t="shared" si="58"/>
        <v>2019</v>
      </c>
      <c r="E915" s="11">
        <v>3.1309999999999998</v>
      </c>
      <c r="F915" s="11">
        <v>101.54900000000001</v>
      </c>
      <c r="G915" s="11">
        <v>27.4</v>
      </c>
      <c r="H915" s="1" t="s">
        <v>0</v>
      </c>
      <c r="I915">
        <v>0</v>
      </c>
      <c r="J915">
        <v>33.1</v>
      </c>
      <c r="K915">
        <v>25.6</v>
      </c>
      <c r="L915">
        <v>29.4</v>
      </c>
      <c r="M915">
        <f t="shared" si="59"/>
        <v>0</v>
      </c>
    </row>
    <row r="916" spans="1:13" x14ac:dyDescent="0.2">
      <c r="A916" s="9">
        <v>43651</v>
      </c>
      <c r="B916">
        <f t="shared" si="56"/>
        <v>5</v>
      </c>
      <c r="C916">
        <f t="shared" si="57"/>
        <v>7</v>
      </c>
      <c r="D916">
        <f t="shared" si="58"/>
        <v>2019</v>
      </c>
      <c r="E916" s="11">
        <v>3.1309999999999998</v>
      </c>
      <c r="F916" s="11">
        <v>101.54900000000001</v>
      </c>
      <c r="G916" s="11">
        <v>27.4</v>
      </c>
      <c r="H916" s="1" t="s">
        <v>0</v>
      </c>
      <c r="I916">
        <v>1</v>
      </c>
      <c r="J916">
        <v>34.799999999999997</v>
      </c>
      <c r="K916" t="s">
        <v>6</v>
      </c>
      <c r="L916">
        <v>28.9</v>
      </c>
      <c r="M916">
        <f t="shared" si="59"/>
        <v>1</v>
      </c>
    </row>
    <row r="917" spans="1:13" x14ac:dyDescent="0.2">
      <c r="A917" s="9">
        <v>43652</v>
      </c>
      <c r="B917">
        <f t="shared" si="56"/>
        <v>6</v>
      </c>
      <c r="C917">
        <f t="shared" si="57"/>
        <v>7</v>
      </c>
      <c r="D917">
        <f t="shared" si="58"/>
        <v>2019</v>
      </c>
      <c r="E917" s="11">
        <v>3.1309999999999998</v>
      </c>
      <c r="F917" s="11">
        <v>101.54900000000001</v>
      </c>
      <c r="G917" s="11">
        <v>27.4</v>
      </c>
      <c r="H917" s="1" t="s">
        <v>0</v>
      </c>
      <c r="I917">
        <v>0</v>
      </c>
      <c r="J917">
        <v>33.5</v>
      </c>
      <c r="K917" t="s">
        <v>6</v>
      </c>
      <c r="L917">
        <v>27.5</v>
      </c>
      <c r="M917">
        <f t="shared" si="59"/>
        <v>0</v>
      </c>
    </row>
    <row r="918" spans="1:13" x14ac:dyDescent="0.2">
      <c r="A918" s="9">
        <v>43653</v>
      </c>
      <c r="B918">
        <f t="shared" si="56"/>
        <v>7</v>
      </c>
      <c r="C918">
        <f t="shared" si="57"/>
        <v>7</v>
      </c>
      <c r="D918">
        <f t="shared" si="58"/>
        <v>2019</v>
      </c>
      <c r="E918" s="11">
        <v>3.1309999999999998</v>
      </c>
      <c r="F918" s="11">
        <v>101.54900000000001</v>
      </c>
      <c r="G918" s="11">
        <v>27.4</v>
      </c>
      <c r="H918" s="1" t="s">
        <v>0</v>
      </c>
      <c r="I918">
        <v>71.900000000000006</v>
      </c>
      <c r="J918" t="s">
        <v>6</v>
      </c>
      <c r="K918">
        <v>23.6</v>
      </c>
      <c r="L918">
        <v>27.6</v>
      </c>
      <c r="M918">
        <f t="shared" si="59"/>
        <v>1</v>
      </c>
    </row>
    <row r="919" spans="1:13" x14ac:dyDescent="0.2">
      <c r="A919" s="9">
        <v>43654</v>
      </c>
      <c r="B919">
        <f t="shared" si="56"/>
        <v>8</v>
      </c>
      <c r="C919">
        <f t="shared" si="57"/>
        <v>7</v>
      </c>
      <c r="D919">
        <f t="shared" si="58"/>
        <v>2019</v>
      </c>
      <c r="E919" s="11">
        <v>3.1309999999999998</v>
      </c>
      <c r="F919" s="11">
        <v>101.54900000000001</v>
      </c>
      <c r="G919" s="11">
        <v>27.4</v>
      </c>
      <c r="H919" s="1" t="s">
        <v>0</v>
      </c>
      <c r="I919">
        <v>3.3</v>
      </c>
      <c r="J919">
        <v>33.4</v>
      </c>
      <c r="K919" t="s">
        <v>6</v>
      </c>
      <c r="L919">
        <v>27.8</v>
      </c>
      <c r="M919">
        <f t="shared" si="59"/>
        <v>1</v>
      </c>
    </row>
    <row r="920" spans="1:13" x14ac:dyDescent="0.2">
      <c r="A920" s="9">
        <v>43655</v>
      </c>
      <c r="B920">
        <f t="shared" si="56"/>
        <v>9</v>
      </c>
      <c r="C920">
        <f t="shared" si="57"/>
        <v>7</v>
      </c>
      <c r="D920">
        <f t="shared" si="58"/>
        <v>2019</v>
      </c>
      <c r="E920" s="11">
        <v>3.1309999999999998</v>
      </c>
      <c r="F920" s="11">
        <v>101.54900000000001</v>
      </c>
      <c r="G920" s="11">
        <v>27.4</v>
      </c>
      <c r="H920" s="1" t="s">
        <v>0</v>
      </c>
      <c r="I920">
        <v>8.4</v>
      </c>
      <c r="J920" t="s">
        <v>6</v>
      </c>
      <c r="K920">
        <v>24.1</v>
      </c>
      <c r="L920">
        <v>28.2</v>
      </c>
      <c r="M920">
        <f t="shared" si="59"/>
        <v>1</v>
      </c>
    </row>
    <row r="921" spans="1:13" x14ac:dyDescent="0.2">
      <c r="A921" s="9">
        <v>43656</v>
      </c>
      <c r="B921">
        <f t="shared" si="56"/>
        <v>10</v>
      </c>
      <c r="C921">
        <f t="shared" si="57"/>
        <v>7</v>
      </c>
      <c r="D921">
        <f t="shared" si="58"/>
        <v>2019</v>
      </c>
      <c r="E921" s="11">
        <v>3.1309999999999998</v>
      </c>
      <c r="F921" s="11">
        <v>101.54900000000001</v>
      </c>
      <c r="G921" s="11">
        <v>27.4</v>
      </c>
      <c r="H921" s="1" t="s">
        <v>0</v>
      </c>
      <c r="I921">
        <v>0</v>
      </c>
      <c r="J921">
        <v>34</v>
      </c>
      <c r="K921">
        <v>24.7</v>
      </c>
      <c r="L921">
        <v>29</v>
      </c>
      <c r="M921">
        <f t="shared" si="59"/>
        <v>0</v>
      </c>
    </row>
    <row r="922" spans="1:13" x14ac:dyDescent="0.2">
      <c r="A922" s="9">
        <v>43657</v>
      </c>
      <c r="B922">
        <f t="shared" si="56"/>
        <v>11</v>
      </c>
      <c r="C922">
        <f t="shared" si="57"/>
        <v>7</v>
      </c>
      <c r="D922">
        <f t="shared" si="58"/>
        <v>2019</v>
      </c>
      <c r="E922" s="11">
        <v>3.1309999999999998</v>
      </c>
      <c r="F922" s="11">
        <v>101.54900000000001</v>
      </c>
      <c r="G922" s="11">
        <v>27.4</v>
      </c>
      <c r="H922" s="1" t="s">
        <v>0</v>
      </c>
      <c r="I922">
        <v>0</v>
      </c>
      <c r="J922" t="s">
        <v>6</v>
      </c>
      <c r="K922">
        <v>25.3</v>
      </c>
      <c r="L922">
        <v>30</v>
      </c>
      <c r="M922">
        <f t="shared" si="59"/>
        <v>0</v>
      </c>
    </row>
    <row r="923" spans="1:13" x14ac:dyDescent="0.2">
      <c r="A923" s="9">
        <v>43658</v>
      </c>
      <c r="B923">
        <f t="shared" si="56"/>
        <v>12</v>
      </c>
      <c r="C923">
        <f t="shared" si="57"/>
        <v>7</v>
      </c>
      <c r="D923">
        <f t="shared" si="58"/>
        <v>2019</v>
      </c>
      <c r="E923" s="11">
        <v>3.1309999999999998</v>
      </c>
      <c r="F923" s="11">
        <v>101.54900000000001</v>
      </c>
      <c r="G923" s="11">
        <v>27.4</v>
      </c>
      <c r="H923" s="1" t="s">
        <v>0</v>
      </c>
      <c r="I923">
        <v>0</v>
      </c>
      <c r="J923">
        <v>33.5</v>
      </c>
      <c r="K923">
        <v>25.8</v>
      </c>
      <c r="L923">
        <v>29.2</v>
      </c>
      <c r="M923">
        <f t="shared" si="59"/>
        <v>0</v>
      </c>
    </row>
    <row r="924" spans="1:13" x14ac:dyDescent="0.2">
      <c r="A924" s="9">
        <v>43659</v>
      </c>
      <c r="B924">
        <f t="shared" si="56"/>
        <v>13</v>
      </c>
      <c r="C924">
        <f t="shared" si="57"/>
        <v>7</v>
      </c>
      <c r="D924">
        <f t="shared" si="58"/>
        <v>2019</v>
      </c>
      <c r="E924" s="11">
        <v>3.1309999999999998</v>
      </c>
      <c r="F924" s="11">
        <v>101.54900000000001</v>
      </c>
      <c r="G924" s="11">
        <v>27.4</v>
      </c>
      <c r="H924" s="1" t="s">
        <v>0</v>
      </c>
      <c r="I924">
        <v>0</v>
      </c>
      <c r="J924">
        <v>33.4</v>
      </c>
      <c r="K924">
        <v>25.3</v>
      </c>
      <c r="L924">
        <v>28.8</v>
      </c>
      <c r="M924">
        <f t="shared" si="59"/>
        <v>0</v>
      </c>
    </row>
    <row r="925" spans="1:13" x14ac:dyDescent="0.2">
      <c r="A925" s="9">
        <v>43660</v>
      </c>
      <c r="B925">
        <f t="shared" si="56"/>
        <v>14</v>
      </c>
      <c r="C925">
        <f t="shared" si="57"/>
        <v>7</v>
      </c>
      <c r="D925">
        <f t="shared" si="58"/>
        <v>2019</v>
      </c>
      <c r="E925" s="11">
        <v>3.1309999999999998</v>
      </c>
      <c r="F925" s="11">
        <v>101.54900000000001</v>
      </c>
      <c r="G925" s="11">
        <v>27.4</v>
      </c>
      <c r="H925" s="1" t="s">
        <v>0</v>
      </c>
      <c r="I925">
        <v>0</v>
      </c>
      <c r="J925">
        <v>32.6</v>
      </c>
      <c r="K925" t="s">
        <v>6</v>
      </c>
      <c r="L925">
        <v>26.3</v>
      </c>
      <c r="M925">
        <f t="shared" si="59"/>
        <v>0</v>
      </c>
    </row>
    <row r="926" spans="1:13" x14ac:dyDescent="0.2">
      <c r="A926" s="9">
        <v>43661</v>
      </c>
      <c r="B926">
        <f t="shared" si="56"/>
        <v>15</v>
      </c>
      <c r="C926">
        <f t="shared" si="57"/>
        <v>7</v>
      </c>
      <c r="D926">
        <f t="shared" si="58"/>
        <v>2019</v>
      </c>
      <c r="E926" s="11">
        <v>3.1309999999999998</v>
      </c>
      <c r="F926" s="11">
        <v>101.54900000000001</v>
      </c>
      <c r="G926" s="11">
        <v>27.4</v>
      </c>
      <c r="H926" s="1" t="s">
        <v>0</v>
      </c>
      <c r="I926">
        <v>35.299999999999997</v>
      </c>
      <c r="J926">
        <v>33.1</v>
      </c>
      <c r="K926">
        <v>24.2</v>
      </c>
      <c r="L926">
        <v>28.4</v>
      </c>
      <c r="M926">
        <f t="shared" si="59"/>
        <v>1</v>
      </c>
    </row>
    <row r="927" spans="1:13" x14ac:dyDescent="0.2">
      <c r="A927" s="9">
        <v>43662</v>
      </c>
      <c r="B927">
        <f t="shared" si="56"/>
        <v>16</v>
      </c>
      <c r="C927">
        <f t="shared" si="57"/>
        <v>7</v>
      </c>
      <c r="D927">
        <f t="shared" si="58"/>
        <v>2019</v>
      </c>
      <c r="E927" s="11">
        <v>3.1309999999999998</v>
      </c>
      <c r="F927" s="11">
        <v>101.54900000000001</v>
      </c>
      <c r="G927" s="11">
        <v>27.4</v>
      </c>
      <c r="H927" s="1" t="s">
        <v>0</v>
      </c>
      <c r="I927">
        <v>0</v>
      </c>
      <c r="J927">
        <v>32.200000000000003</v>
      </c>
      <c r="K927">
        <v>24.5</v>
      </c>
      <c r="L927">
        <v>27.5</v>
      </c>
      <c r="M927">
        <f t="shared" si="59"/>
        <v>0</v>
      </c>
    </row>
    <row r="928" spans="1:13" x14ac:dyDescent="0.2">
      <c r="A928" s="9">
        <v>43663</v>
      </c>
      <c r="B928">
        <f t="shared" si="56"/>
        <v>17</v>
      </c>
      <c r="C928">
        <f t="shared" si="57"/>
        <v>7</v>
      </c>
      <c r="D928">
        <f t="shared" si="58"/>
        <v>2019</v>
      </c>
      <c r="E928" s="11">
        <v>3.1309999999999998</v>
      </c>
      <c r="F928" s="11">
        <v>101.54900000000001</v>
      </c>
      <c r="G928" s="11">
        <v>27.4</v>
      </c>
      <c r="H928" s="1" t="s">
        <v>0</v>
      </c>
      <c r="I928">
        <v>2.2999999999999998</v>
      </c>
      <c r="J928">
        <v>32.700000000000003</v>
      </c>
      <c r="K928">
        <v>24.9</v>
      </c>
      <c r="L928">
        <v>28.9</v>
      </c>
      <c r="M928">
        <f t="shared" si="59"/>
        <v>1</v>
      </c>
    </row>
    <row r="929" spans="1:13" x14ac:dyDescent="0.2">
      <c r="A929" s="9">
        <v>43664</v>
      </c>
      <c r="B929">
        <f t="shared" si="56"/>
        <v>18</v>
      </c>
      <c r="C929">
        <f t="shared" si="57"/>
        <v>7</v>
      </c>
      <c r="D929">
        <f t="shared" si="58"/>
        <v>2019</v>
      </c>
      <c r="E929" s="11">
        <v>3.1309999999999998</v>
      </c>
      <c r="F929" s="11">
        <v>101.54900000000001</v>
      </c>
      <c r="G929" s="11">
        <v>27.4</v>
      </c>
      <c r="H929" s="1" t="s">
        <v>0</v>
      </c>
      <c r="I929">
        <v>0</v>
      </c>
      <c r="J929">
        <v>32.299999999999997</v>
      </c>
      <c r="K929">
        <v>25.5</v>
      </c>
      <c r="L929">
        <v>29.1</v>
      </c>
      <c r="M929">
        <f t="shared" si="59"/>
        <v>0</v>
      </c>
    </row>
    <row r="930" spans="1:13" x14ac:dyDescent="0.2">
      <c r="A930" s="9">
        <v>43665</v>
      </c>
      <c r="B930">
        <f t="shared" si="56"/>
        <v>19</v>
      </c>
      <c r="C930">
        <f t="shared" si="57"/>
        <v>7</v>
      </c>
      <c r="D930">
        <f t="shared" si="58"/>
        <v>2019</v>
      </c>
      <c r="E930" s="11">
        <v>3.1309999999999998</v>
      </c>
      <c r="F930" s="11">
        <v>101.54900000000001</v>
      </c>
      <c r="G930" s="11">
        <v>27.4</v>
      </c>
      <c r="H930" s="1" t="s">
        <v>0</v>
      </c>
      <c r="I930">
        <v>0</v>
      </c>
      <c r="J930">
        <v>33</v>
      </c>
      <c r="K930" t="s">
        <v>6</v>
      </c>
      <c r="L930">
        <v>29.1</v>
      </c>
      <c r="M930">
        <f t="shared" si="59"/>
        <v>0</v>
      </c>
    </row>
    <row r="931" spans="1:13" x14ac:dyDescent="0.2">
      <c r="A931" s="9">
        <v>43666</v>
      </c>
      <c r="B931">
        <f t="shared" si="56"/>
        <v>20</v>
      </c>
      <c r="C931">
        <f t="shared" si="57"/>
        <v>7</v>
      </c>
      <c r="D931">
        <f t="shared" si="58"/>
        <v>2019</v>
      </c>
      <c r="E931" s="11">
        <v>3.1309999999999998</v>
      </c>
      <c r="F931" s="11">
        <v>101.54900000000001</v>
      </c>
      <c r="G931" s="11">
        <v>27.4</v>
      </c>
      <c r="H931" s="1" t="s">
        <v>0</v>
      </c>
      <c r="I931">
        <v>0</v>
      </c>
      <c r="J931">
        <v>34</v>
      </c>
      <c r="K931">
        <v>25.7</v>
      </c>
      <c r="L931">
        <v>29.5</v>
      </c>
      <c r="M931">
        <f t="shared" si="59"/>
        <v>0</v>
      </c>
    </row>
    <row r="932" spans="1:13" x14ac:dyDescent="0.2">
      <c r="A932" s="9">
        <v>43667</v>
      </c>
      <c r="B932">
        <f t="shared" si="56"/>
        <v>21</v>
      </c>
      <c r="C932">
        <f t="shared" si="57"/>
        <v>7</v>
      </c>
      <c r="D932">
        <f t="shared" si="58"/>
        <v>2019</v>
      </c>
      <c r="E932" s="11">
        <v>3.1309999999999998</v>
      </c>
      <c r="F932" s="11">
        <v>101.54900000000001</v>
      </c>
      <c r="G932" s="11">
        <v>27.4</v>
      </c>
      <c r="H932" s="1" t="s">
        <v>0</v>
      </c>
      <c r="I932">
        <v>0</v>
      </c>
      <c r="J932">
        <v>33.9</v>
      </c>
      <c r="K932" t="s">
        <v>6</v>
      </c>
      <c r="L932">
        <v>27.2</v>
      </c>
      <c r="M932">
        <f t="shared" si="59"/>
        <v>0</v>
      </c>
    </row>
    <row r="933" spans="1:13" x14ac:dyDescent="0.2">
      <c r="A933" s="9">
        <v>43668</v>
      </c>
      <c r="B933">
        <f t="shared" si="56"/>
        <v>22</v>
      </c>
      <c r="C933">
        <f t="shared" si="57"/>
        <v>7</v>
      </c>
      <c r="D933">
        <f t="shared" si="58"/>
        <v>2019</v>
      </c>
      <c r="E933" s="11">
        <v>3.1309999999999998</v>
      </c>
      <c r="F933" s="11">
        <v>101.54900000000001</v>
      </c>
      <c r="G933" s="11">
        <v>27.4</v>
      </c>
      <c r="H933" s="1" t="s">
        <v>0</v>
      </c>
      <c r="I933">
        <v>15.2</v>
      </c>
      <c r="J933">
        <v>31.3</v>
      </c>
      <c r="K933">
        <v>24</v>
      </c>
      <c r="L933">
        <v>26.9</v>
      </c>
      <c r="M933">
        <f t="shared" si="59"/>
        <v>1</v>
      </c>
    </row>
    <row r="934" spans="1:13" x14ac:dyDescent="0.2">
      <c r="A934" s="9">
        <v>43669</v>
      </c>
      <c r="B934">
        <f t="shared" si="56"/>
        <v>23</v>
      </c>
      <c r="C934">
        <f t="shared" si="57"/>
        <v>7</v>
      </c>
      <c r="D934">
        <f t="shared" si="58"/>
        <v>2019</v>
      </c>
      <c r="E934" s="11">
        <v>3.1309999999999998</v>
      </c>
      <c r="F934" s="11">
        <v>101.54900000000001</v>
      </c>
      <c r="G934" s="11">
        <v>27.4</v>
      </c>
      <c r="H934" s="1" t="s">
        <v>0</v>
      </c>
      <c r="I934">
        <v>2.2999999999999998</v>
      </c>
      <c r="J934" t="s">
        <v>6</v>
      </c>
      <c r="K934">
        <v>24.6</v>
      </c>
      <c r="L934">
        <v>29</v>
      </c>
      <c r="M934">
        <f t="shared" si="59"/>
        <v>1</v>
      </c>
    </row>
    <row r="935" spans="1:13" x14ac:dyDescent="0.2">
      <c r="A935" s="9">
        <v>43670</v>
      </c>
      <c r="B935">
        <f t="shared" si="56"/>
        <v>24</v>
      </c>
      <c r="C935">
        <f t="shared" si="57"/>
        <v>7</v>
      </c>
      <c r="D935">
        <f t="shared" si="58"/>
        <v>2019</v>
      </c>
      <c r="E935" s="11">
        <v>3.1309999999999998</v>
      </c>
      <c r="F935" s="11">
        <v>101.54900000000001</v>
      </c>
      <c r="G935" s="11">
        <v>27.4</v>
      </c>
      <c r="H935" s="1" t="s">
        <v>0</v>
      </c>
      <c r="I935">
        <v>0</v>
      </c>
      <c r="J935">
        <v>32.200000000000003</v>
      </c>
      <c r="K935" t="s">
        <v>6</v>
      </c>
      <c r="L935">
        <v>27.1</v>
      </c>
      <c r="M935">
        <f t="shared" si="59"/>
        <v>0</v>
      </c>
    </row>
    <row r="936" spans="1:13" x14ac:dyDescent="0.2">
      <c r="A936" s="9">
        <v>43671</v>
      </c>
      <c r="B936">
        <f t="shared" si="56"/>
        <v>25</v>
      </c>
      <c r="C936">
        <f t="shared" si="57"/>
        <v>7</v>
      </c>
      <c r="D936">
        <f t="shared" si="58"/>
        <v>2019</v>
      </c>
      <c r="E936" s="11">
        <v>3.1309999999999998</v>
      </c>
      <c r="F936" s="11">
        <v>101.54900000000001</v>
      </c>
      <c r="G936" s="11">
        <v>27.4</v>
      </c>
      <c r="H936" s="1" t="s">
        <v>0</v>
      </c>
      <c r="I936">
        <v>3.6</v>
      </c>
      <c r="J936">
        <v>32.6</v>
      </c>
      <c r="K936" t="s">
        <v>6</v>
      </c>
      <c r="L936">
        <v>26.2</v>
      </c>
      <c r="M936">
        <f t="shared" si="59"/>
        <v>1</v>
      </c>
    </row>
    <row r="937" spans="1:13" x14ac:dyDescent="0.2">
      <c r="A937" s="9">
        <v>43672</v>
      </c>
      <c r="B937">
        <f t="shared" si="56"/>
        <v>26</v>
      </c>
      <c r="C937">
        <f t="shared" si="57"/>
        <v>7</v>
      </c>
      <c r="D937">
        <f t="shared" si="58"/>
        <v>2019</v>
      </c>
      <c r="E937" s="11">
        <v>3.1309999999999998</v>
      </c>
      <c r="F937" s="11">
        <v>101.54900000000001</v>
      </c>
      <c r="G937" s="11">
        <v>27.4</v>
      </c>
      <c r="H937" s="1" t="s">
        <v>0</v>
      </c>
      <c r="I937">
        <v>9.9</v>
      </c>
      <c r="J937" t="s">
        <v>6</v>
      </c>
      <c r="K937">
        <v>23.5</v>
      </c>
      <c r="L937">
        <v>29.3</v>
      </c>
      <c r="M937">
        <f t="shared" si="59"/>
        <v>1</v>
      </c>
    </row>
    <row r="938" spans="1:13" x14ac:dyDescent="0.2">
      <c r="A938" s="9">
        <v>43673</v>
      </c>
      <c r="B938">
        <f t="shared" si="56"/>
        <v>27</v>
      </c>
      <c r="C938">
        <f t="shared" si="57"/>
        <v>7</v>
      </c>
      <c r="D938">
        <f t="shared" si="58"/>
        <v>2019</v>
      </c>
      <c r="E938" s="11">
        <v>3.1309999999999998</v>
      </c>
      <c r="F938" s="11">
        <v>101.54900000000001</v>
      </c>
      <c r="G938" s="11">
        <v>27.4</v>
      </c>
      <c r="H938" s="1" t="s">
        <v>0</v>
      </c>
      <c r="I938">
        <v>0</v>
      </c>
      <c r="J938">
        <v>32.4</v>
      </c>
      <c r="K938">
        <v>24.2</v>
      </c>
      <c r="L938">
        <v>28.4</v>
      </c>
      <c r="M938">
        <f t="shared" si="59"/>
        <v>0</v>
      </c>
    </row>
    <row r="939" spans="1:13" x14ac:dyDescent="0.2">
      <c r="A939" s="9">
        <v>43674</v>
      </c>
      <c r="B939">
        <f t="shared" si="56"/>
        <v>28</v>
      </c>
      <c r="C939">
        <f t="shared" si="57"/>
        <v>7</v>
      </c>
      <c r="D939">
        <f t="shared" si="58"/>
        <v>2019</v>
      </c>
      <c r="E939" s="11">
        <v>3.1309999999999998</v>
      </c>
      <c r="F939" s="11">
        <v>101.54900000000001</v>
      </c>
      <c r="G939" s="11">
        <v>27.4</v>
      </c>
      <c r="H939" s="1" t="s">
        <v>0</v>
      </c>
      <c r="I939">
        <v>0</v>
      </c>
      <c r="J939">
        <v>34.1</v>
      </c>
      <c r="K939">
        <v>24.9</v>
      </c>
      <c r="L939">
        <v>29.6</v>
      </c>
      <c r="M939">
        <f t="shared" si="59"/>
        <v>0</v>
      </c>
    </row>
    <row r="940" spans="1:13" x14ac:dyDescent="0.2">
      <c r="A940" s="9">
        <v>43675</v>
      </c>
      <c r="B940">
        <f t="shared" si="56"/>
        <v>29</v>
      </c>
      <c r="C940">
        <f t="shared" si="57"/>
        <v>7</v>
      </c>
      <c r="D940">
        <f t="shared" si="58"/>
        <v>2019</v>
      </c>
      <c r="E940" s="11">
        <v>3.1309999999999998</v>
      </c>
      <c r="F940" s="11">
        <v>101.54900000000001</v>
      </c>
      <c r="G940" s="11">
        <v>27.4</v>
      </c>
      <c r="H940" s="1" t="s">
        <v>0</v>
      </c>
      <c r="I940">
        <v>0</v>
      </c>
      <c r="J940">
        <v>33.200000000000003</v>
      </c>
      <c r="K940" t="s">
        <v>6</v>
      </c>
      <c r="L940">
        <v>29.4</v>
      </c>
      <c r="M940">
        <f t="shared" si="59"/>
        <v>0</v>
      </c>
    </row>
    <row r="941" spans="1:13" x14ac:dyDescent="0.2">
      <c r="A941" s="9">
        <v>43676</v>
      </c>
      <c r="B941">
        <f t="shared" si="56"/>
        <v>30</v>
      </c>
      <c r="C941">
        <f t="shared" si="57"/>
        <v>7</v>
      </c>
      <c r="D941">
        <f t="shared" si="58"/>
        <v>2019</v>
      </c>
      <c r="E941" s="11">
        <v>3.1309999999999998</v>
      </c>
      <c r="F941" s="11">
        <v>101.54900000000001</v>
      </c>
      <c r="G941" s="11">
        <v>27.4</v>
      </c>
      <c r="H941" s="1" t="s">
        <v>0</v>
      </c>
      <c r="I941">
        <v>0</v>
      </c>
      <c r="J941">
        <v>33.6</v>
      </c>
      <c r="K941">
        <v>24.9</v>
      </c>
      <c r="L941">
        <v>28.9</v>
      </c>
      <c r="M941">
        <f t="shared" si="59"/>
        <v>0</v>
      </c>
    </row>
    <row r="942" spans="1:13" x14ac:dyDescent="0.2">
      <c r="A942" s="9">
        <v>43677</v>
      </c>
      <c r="B942">
        <f t="shared" si="56"/>
        <v>31</v>
      </c>
      <c r="C942">
        <f t="shared" si="57"/>
        <v>7</v>
      </c>
      <c r="D942">
        <f t="shared" si="58"/>
        <v>2019</v>
      </c>
      <c r="E942" s="11">
        <v>3.1309999999999998</v>
      </c>
      <c r="F942" s="11">
        <v>101.54900000000001</v>
      </c>
      <c r="G942" s="11">
        <v>27.4</v>
      </c>
      <c r="H942" s="1" t="s">
        <v>0</v>
      </c>
      <c r="I942">
        <v>0</v>
      </c>
      <c r="J942" t="s">
        <v>6</v>
      </c>
      <c r="K942" t="s">
        <v>6</v>
      </c>
      <c r="L942">
        <v>28.6</v>
      </c>
      <c r="M942">
        <f t="shared" si="59"/>
        <v>0</v>
      </c>
    </row>
    <row r="943" spans="1:13" x14ac:dyDescent="0.2">
      <c r="A943" s="9">
        <v>43678</v>
      </c>
      <c r="B943">
        <f t="shared" si="56"/>
        <v>1</v>
      </c>
      <c r="C943">
        <f t="shared" si="57"/>
        <v>8</v>
      </c>
      <c r="D943">
        <f t="shared" si="58"/>
        <v>2019</v>
      </c>
      <c r="E943" s="11">
        <v>3.1309999999999998</v>
      </c>
      <c r="F943" s="11">
        <v>101.54900000000001</v>
      </c>
      <c r="G943" s="11">
        <v>27.4</v>
      </c>
      <c r="H943" s="1" t="s">
        <v>0</v>
      </c>
      <c r="I943">
        <v>0</v>
      </c>
      <c r="J943">
        <v>33.200000000000003</v>
      </c>
      <c r="K943" t="s">
        <v>6</v>
      </c>
      <c r="L943">
        <v>27.6</v>
      </c>
      <c r="M943">
        <f t="shared" si="59"/>
        <v>0</v>
      </c>
    </row>
    <row r="944" spans="1:13" x14ac:dyDescent="0.2">
      <c r="A944" s="9">
        <v>43679</v>
      </c>
      <c r="B944">
        <f t="shared" si="56"/>
        <v>2</v>
      </c>
      <c r="C944">
        <f t="shared" si="57"/>
        <v>8</v>
      </c>
      <c r="D944">
        <f t="shared" si="58"/>
        <v>2019</v>
      </c>
      <c r="E944" s="11">
        <v>3.1309999999999998</v>
      </c>
      <c r="F944" s="11">
        <v>101.54900000000001</v>
      </c>
      <c r="G944" s="11">
        <v>27.4</v>
      </c>
      <c r="H944" s="1" t="s">
        <v>0</v>
      </c>
      <c r="I944">
        <v>15.7</v>
      </c>
      <c r="J944">
        <v>32.700000000000003</v>
      </c>
      <c r="K944">
        <v>22.6</v>
      </c>
      <c r="L944">
        <v>28.4</v>
      </c>
      <c r="M944">
        <f t="shared" si="59"/>
        <v>1</v>
      </c>
    </row>
    <row r="945" spans="1:13" x14ac:dyDescent="0.2">
      <c r="A945" s="9">
        <v>43680</v>
      </c>
      <c r="B945">
        <f t="shared" si="56"/>
        <v>3</v>
      </c>
      <c r="C945">
        <f t="shared" si="57"/>
        <v>8</v>
      </c>
      <c r="D945">
        <f t="shared" si="58"/>
        <v>2019</v>
      </c>
      <c r="E945" s="11">
        <v>3.1309999999999998</v>
      </c>
      <c r="F945" s="11">
        <v>101.54900000000001</v>
      </c>
      <c r="G945" s="11">
        <v>27.4</v>
      </c>
      <c r="H945" s="1" t="s">
        <v>0</v>
      </c>
      <c r="I945">
        <v>0</v>
      </c>
      <c r="J945">
        <v>32.299999999999997</v>
      </c>
      <c r="K945">
        <v>24</v>
      </c>
      <c r="L945">
        <v>27.5</v>
      </c>
      <c r="M945">
        <f t="shared" si="59"/>
        <v>0</v>
      </c>
    </row>
    <row r="946" spans="1:13" x14ac:dyDescent="0.2">
      <c r="A946" s="9">
        <v>43681</v>
      </c>
      <c r="B946">
        <f t="shared" si="56"/>
        <v>4</v>
      </c>
      <c r="C946">
        <f t="shared" si="57"/>
        <v>8</v>
      </c>
      <c r="D946">
        <f t="shared" si="58"/>
        <v>2019</v>
      </c>
      <c r="E946" s="11">
        <v>3.1309999999999998</v>
      </c>
      <c r="F946" s="11">
        <v>101.54900000000001</v>
      </c>
      <c r="G946" s="11">
        <v>27.4</v>
      </c>
      <c r="H946" s="1" t="s">
        <v>0</v>
      </c>
      <c r="I946">
        <v>4.0999999999999996</v>
      </c>
      <c r="J946">
        <v>33.299999999999997</v>
      </c>
      <c r="K946">
        <v>24.2</v>
      </c>
      <c r="L946">
        <v>29.1</v>
      </c>
      <c r="M946">
        <f t="shared" si="59"/>
        <v>1</v>
      </c>
    </row>
    <row r="947" spans="1:13" x14ac:dyDescent="0.2">
      <c r="A947" s="9">
        <v>43682</v>
      </c>
      <c r="B947">
        <f t="shared" si="56"/>
        <v>5</v>
      </c>
      <c r="C947">
        <f t="shared" si="57"/>
        <v>8</v>
      </c>
      <c r="D947">
        <f t="shared" si="58"/>
        <v>2019</v>
      </c>
      <c r="E947" s="11">
        <v>3.1309999999999998</v>
      </c>
      <c r="F947" s="11">
        <v>101.54900000000001</v>
      </c>
      <c r="G947" s="11">
        <v>27.4</v>
      </c>
      <c r="H947" s="1" t="s">
        <v>0</v>
      </c>
      <c r="I947">
        <v>15.2</v>
      </c>
      <c r="J947">
        <v>33.1</v>
      </c>
      <c r="K947">
        <v>24.6</v>
      </c>
      <c r="L947">
        <v>28.9</v>
      </c>
      <c r="M947">
        <f t="shared" si="59"/>
        <v>1</v>
      </c>
    </row>
    <row r="948" spans="1:13" x14ac:dyDescent="0.2">
      <c r="A948" s="9">
        <v>43683</v>
      </c>
      <c r="B948">
        <f t="shared" si="56"/>
        <v>6</v>
      </c>
      <c r="C948">
        <f t="shared" si="57"/>
        <v>8</v>
      </c>
      <c r="D948">
        <f t="shared" si="58"/>
        <v>2019</v>
      </c>
      <c r="E948" s="11">
        <v>3.1309999999999998</v>
      </c>
      <c r="F948" s="11">
        <v>101.54900000000001</v>
      </c>
      <c r="G948" s="11">
        <v>27.4</v>
      </c>
      <c r="H948" s="1" t="s">
        <v>0</v>
      </c>
      <c r="I948">
        <v>0</v>
      </c>
      <c r="J948">
        <v>33.1</v>
      </c>
      <c r="K948">
        <v>24.8</v>
      </c>
      <c r="L948">
        <v>29</v>
      </c>
      <c r="M948">
        <f t="shared" si="59"/>
        <v>0</v>
      </c>
    </row>
    <row r="949" spans="1:13" x14ac:dyDescent="0.2">
      <c r="A949" s="9">
        <v>43684</v>
      </c>
      <c r="B949">
        <f t="shared" si="56"/>
        <v>7</v>
      </c>
      <c r="C949">
        <f t="shared" si="57"/>
        <v>8</v>
      </c>
      <c r="D949">
        <f t="shared" si="58"/>
        <v>2019</v>
      </c>
      <c r="E949" s="11">
        <v>3.1309999999999998</v>
      </c>
      <c r="F949" s="11">
        <v>101.54900000000001</v>
      </c>
      <c r="G949" s="11">
        <v>27.4</v>
      </c>
      <c r="H949" s="1" t="s">
        <v>0</v>
      </c>
      <c r="I949">
        <v>0</v>
      </c>
      <c r="J949">
        <v>32.200000000000003</v>
      </c>
      <c r="K949" t="s">
        <v>6</v>
      </c>
      <c r="L949">
        <v>28.6</v>
      </c>
      <c r="M949">
        <f t="shared" si="59"/>
        <v>0</v>
      </c>
    </row>
    <row r="950" spans="1:13" x14ac:dyDescent="0.2">
      <c r="A950" s="9">
        <v>43685</v>
      </c>
      <c r="B950">
        <f t="shared" si="56"/>
        <v>8</v>
      </c>
      <c r="C950">
        <f t="shared" si="57"/>
        <v>8</v>
      </c>
      <c r="D950">
        <f t="shared" si="58"/>
        <v>2019</v>
      </c>
      <c r="E950" s="11">
        <v>3.1309999999999998</v>
      </c>
      <c r="F950" s="11">
        <v>101.54900000000001</v>
      </c>
      <c r="G950" s="11">
        <v>27.4</v>
      </c>
      <c r="H950" s="1" t="s">
        <v>0</v>
      </c>
      <c r="I950">
        <v>0.3</v>
      </c>
      <c r="J950">
        <v>32.700000000000003</v>
      </c>
      <c r="K950" t="s">
        <v>6</v>
      </c>
      <c r="L950">
        <v>29</v>
      </c>
      <c r="M950">
        <f t="shared" si="59"/>
        <v>1</v>
      </c>
    </row>
    <row r="951" spans="1:13" x14ac:dyDescent="0.2">
      <c r="A951" s="9">
        <v>43686</v>
      </c>
      <c r="B951">
        <f t="shared" si="56"/>
        <v>9</v>
      </c>
      <c r="C951">
        <f t="shared" si="57"/>
        <v>8</v>
      </c>
      <c r="D951">
        <f t="shared" si="58"/>
        <v>2019</v>
      </c>
      <c r="E951" s="11">
        <v>3.1309999999999998</v>
      </c>
      <c r="F951" s="11">
        <v>101.54900000000001</v>
      </c>
      <c r="G951" s="11">
        <v>27.4</v>
      </c>
      <c r="H951" s="1" t="s">
        <v>0</v>
      </c>
      <c r="I951">
        <v>0</v>
      </c>
      <c r="J951">
        <v>32.700000000000003</v>
      </c>
      <c r="K951" t="s">
        <v>6</v>
      </c>
      <c r="L951">
        <v>29.1</v>
      </c>
      <c r="M951">
        <f t="shared" si="59"/>
        <v>0</v>
      </c>
    </row>
    <row r="952" spans="1:13" x14ac:dyDescent="0.2">
      <c r="A952" s="9">
        <v>43687</v>
      </c>
      <c r="B952">
        <f t="shared" si="56"/>
        <v>10</v>
      </c>
      <c r="C952">
        <f t="shared" si="57"/>
        <v>8</v>
      </c>
      <c r="D952">
        <f t="shared" si="58"/>
        <v>2019</v>
      </c>
      <c r="E952" s="11">
        <v>3.1309999999999998</v>
      </c>
      <c r="F952" s="11">
        <v>101.54900000000001</v>
      </c>
      <c r="G952" s="11">
        <v>27.4</v>
      </c>
      <c r="H952" s="1" t="s">
        <v>0</v>
      </c>
      <c r="I952">
        <v>5.6</v>
      </c>
      <c r="J952">
        <v>31.2</v>
      </c>
      <c r="K952">
        <v>23.6</v>
      </c>
      <c r="L952">
        <v>28.1</v>
      </c>
      <c r="M952">
        <f t="shared" si="59"/>
        <v>1</v>
      </c>
    </row>
    <row r="953" spans="1:13" x14ac:dyDescent="0.2">
      <c r="A953" s="9">
        <v>43688</v>
      </c>
      <c r="B953">
        <f t="shared" si="56"/>
        <v>11</v>
      </c>
      <c r="C953">
        <f t="shared" si="57"/>
        <v>8</v>
      </c>
      <c r="D953">
        <f t="shared" si="58"/>
        <v>2019</v>
      </c>
      <c r="E953" s="11">
        <v>3.1309999999999998</v>
      </c>
      <c r="F953" s="11">
        <v>101.54900000000001</v>
      </c>
      <c r="G953" s="11">
        <v>27.4</v>
      </c>
      <c r="H953" s="1" t="s">
        <v>0</v>
      </c>
      <c r="I953">
        <v>0</v>
      </c>
      <c r="J953">
        <v>33.200000000000003</v>
      </c>
      <c r="K953">
        <v>24.7</v>
      </c>
      <c r="L953">
        <v>28.9</v>
      </c>
      <c r="M953">
        <f t="shared" si="59"/>
        <v>0</v>
      </c>
    </row>
    <row r="954" spans="1:13" x14ac:dyDescent="0.2">
      <c r="A954" s="9">
        <v>43689</v>
      </c>
      <c r="B954">
        <f t="shared" si="56"/>
        <v>12</v>
      </c>
      <c r="C954">
        <f t="shared" si="57"/>
        <v>8</v>
      </c>
      <c r="D954">
        <f t="shared" si="58"/>
        <v>2019</v>
      </c>
      <c r="E954" s="11">
        <v>3.1309999999999998</v>
      </c>
      <c r="F954" s="11">
        <v>101.54900000000001</v>
      </c>
      <c r="G954" s="11">
        <v>27.4</v>
      </c>
      <c r="H954" s="1" t="s">
        <v>0</v>
      </c>
      <c r="I954">
        <v>8.9</v>
      </c>
      <c r="J954">
        <v>34.200000000000003</v>
      </c>
      <c r="K954">
        <v>25.9</v>
      </c>
      <c r="L954">
        <v>29.7</v>
      </c>
      <c r="M954">
        <f t="shared" si="59"/>
        <v>1</v>
      </c>
    </row>
    <row r="955" spans="1:13" x14ac:dyDescent="0.2">
      <c r="A955" s="9">
        <v>43690</v>
      </c>
      <c r="B955">
        <f t="shared" si="56"/>
        <v>13</v>
      </c>
      <c r="C955">
        <f t="shared" si="57"/>
        <v>8</v>
      </c>
      <c r="D955">
        <f t="shared" si="58"/>
        <v>2019</v>
      </c>
      <c r="E955" s="11">
        <v>3.1309999999999998</v>
      </c>
      <c r="F955" s="11">
        <v>101.54900000000001</v>
      </c>
      <c r="G955" s="11">
        <v>27.4</v>
      </c>
      <c r="H955" s="1" t="s">
        <v>0</v>
      </c>
      <c r="I955">
        <v>0</v>
      </c>
      <c r="J955">
        <v>35</v>
      </c>
      <c r="K955">
        <v>25.7</v>
      </c>
      <c r="L955">
        <v>30.2</v>
      </c>
      <c r="M955">
        <f t="shared" si="59"/>
        <v>0</v>
      </c>
    </row>
    <row r="956" spans="1:13" x14ac:dyDescent="0.2">
      <c r="A956" s="9">
        <v>43691</v>
      </c>
      <c r="B956">
        <f t="shared" si="56"/>
        <v>14</v>
      </c>
      <c r="C956">
        <f t="shared" si="57"/>
        <v>8</v>
      </c>
      <c r="D956">
        <f t="shared" si="58"/>
        <v>2019</v>
      </c>
      <c r="E956" s="11">
        <v>3.1309999999999998</v>
      </c>
      <c r="F956" s="11">
        <v>101.54900000000001</v>
      </c>
      <c r="G956" s="11">
        <v>27.4</v>
      </c>
      <c r="H956" s="1" t="s">
        <v>0</v>
      </c>
      <c r="I956">
        <v>0</v>
      </c>
      <c r="J956">
        <v>32.799999999999997</v>
      </c>
      <c r="K956" t="s">
        <v>6</v>
      </c>
      <c r="L956">
        <v>27.1</v>
      </c>
      <c r="M956">
        <f t="shared" si="59"/>
        <v>0</v>
      </c>
    </row>
    <row r="957" spans="1:13" x14ac:dyDescent="0.2">
      <c r="A957" s="9">
        <v>43692</v>
      </c>
      <c r="B957">
        <f t="shared" si="56"/>
        <v>15</v>
      </c>
      <c r="C957">
        <f t="shared" si="57"/>
        <v>8</v>
      </c>
      <c r="D957">
        <f t="shared" si="58"/>
        <v>2019</v>
      </c>
      <c r="E957" s="11">
        <v>3.1309999999999998</v>
      </c>
      <c r="F957" s="11">
        <v>101.54900000000001</v>
      </c>
      <c r="G957" s="11">
        <v>27.4</v>
      </c>
      <c r="H957" s="1" t="s">
        <v>0</v>
      </c>
      <c r="I957">
        <v>13.7</v>
      </c>
      <c r="J957">
        <v>32.299999999999997</v>
      </c>
      <c r="K957" t="s">
        <v>6</v>
      </c>
      <c r="L957">
        <v>26.3</v>
      </c>
      <c r="M957">
        <f t="shared" si="59"/>
        <v>1</v>
      </c>
    </row>
    <row r="958" spans="1:13" x14ac:dyDescent="0.2">
      <c r="A958" s="9">
        <v>43693</v>
      </c>
      <c r="B958">
        <f t="shared" si="56"/>
        <v>16</v>
      </c>
      <c r="C958">
        <f t="shared" si="57"/>
        <v>8</v>
      </c>
      <c r="D958">
        <f t="shared" si="58"/>
        <v>2019</v>
      </c>
      <c r="E958" s="11">
        <v>3.1309999999999998</v>
      </c>
      <c r="F958" s="11">
        <v>101.54900000000001</v>
      </c>
      <c r="G958" s="11">
        <v>27.4</v>
      </c>
      <c r="H958" s="1" t="s">
        <v>0</v>
      </c>
      <c r="I958">
        <v>40.9</v>
      </c>
      <c r="J958">
        <v>32.700000000000003</v>
      </c>
      <c r="K958">
        <v>23.9</v>
      </c>
      <c r="L958">
        <v>28.4</v>
      </c>
      <c r="M958">
        <f t="shared" si="59"/>
        <v>1</v>
      </c>
    </row>
    <row r="959" spans="1:13" x14ac:dyDescent="0.2">
      <c r="A959" s="9">
        <v>43694</v>
      </c>
      <c r="B959">
        <f t="shared" si="56"/>
        <v>17</v>
      </c>
      <c r="C959">
        <f t="shared" si="57"/>
        <v>8</v>
      </c>
      <c r="D959">
        <f t="shared" si="58"/>
        <v>2019</v>
      </c>
      <c r="E959" s="11">
        <v>3.1309999999999998</v>
      </c>
      <c r="F959" s="11">
        <v>101.54900000000001</v>
      </c>
      <c r="G959" s="11">
        <v>27.4</v>
      </c>
      <c r="H959" s="1" t="s">
        <v>0</v>
      </c>
      <c r="I959">
        <v>0</v>
      </c>
      <c r="J959">
        <v>35.1</v>
      </c>
      <c r="K959">
        <v>24.9</v>
      </c>
      <c r="L959">
        <v>29.1</v>
      </c>
      <c r="M959">
        <f t="shared" si="59"/>
        <v>0</v>
      </c>
    </row>
    <row r="960" spans="1:13" x14ac:dyDescent="0.2">
      <c r="A960" s="9">
        <v>43695</v>
      </c>
      <c r="B960">
        <f t="shared" si="56"/>
        <v>18</v>
      </c>
      <c r="C960">
        <f t="shared" si="57"/>
        <v>8</v>
      </c>
      <c r="D960">
        <f t="shared" si="58"/>
        <v>2019</v>
      </c>
      <c r="E960" s="11">
        <v>3.1309999999999998</v>
      </c>
      <c r="F960" s="11">
        <v>101.54900000000001</v>
      </c>
      <c r="G960" s="11">
        <v>27.4</v>
      </c>
      <c r="H960" s="1" t="s">
        <v>0</v>
      </c>
      <c r="I960">
        <v>0</v>
      </c>
      <c r="J960">
        <v>34.5</v>
      </c>
      <c r="K960" t="s">
        <v>6</v>
      </c>
      <c r="L960">
        <v>27.6</v>
      </c>
      <c r="M960">
        <f t="shared" si="59"/>
        <v>0</v>
      </c>
    </row>
    <row r="961" spans="1:13" x14ac:dyDescent="0.2">
      <c r="A961" s="9">
        <v>43696</v>
      </c>
      <c r="B961">
        <f t="shared" si="56"/>
        <v>19</v>
      </c>
      <c r="C961">
        <f t="shared" si="57"/>
        <v>8</v>
      </c>
      <c r="D961">
        <f t="shared" si="58"/>
        <v>2019</v>
      </c>
      <c r="E961" s="11">
        <v>3.1309999999999998</v>
      </c>
      <c r="F961" s="11">
        <v>101.54900000000001</v>
      </c>
      <c r="G961" s="11">
        <v>27.4</v>
      </c>
      <c r="H961" s="1" t="s">
        <v>0</v>
      </c>
      <c r="I961">
        <v>18</v>
      </c>
      <c r="J961">
        <v>33.4</v>
      </c>
      <c r="K961">
        <v>24.2</v>
      </c>
      <c r="L961">
        <v>28.9</v>
      </c>
      <c r="M961">
        <f t="shared" si="59"/>
        <v>1</v>
      </c>
    </row>
    <row r="962" spans="1:13" x14ac:dyDescent="0.2">
      <c r="A962" s="9">
        <v>43697</v>
      </c>
      <c r="B962">
        <f t="shared" si="56"/>
        <v>20</v>
      </c>
      <c r="C962">
        <f t="shared" si="57"/>
        <v>8</v>
      </c>
      <c r="D962">
        <f t="shared" si="58"/>
        <v>2019</v>
      </c>
      <c r="E962" s="11">
        <v>3.1309999999999998</v>
      </c>
      <c r="F962" s="11">
        <v>101.54900000000001</v>
      </c>
      <c r="G962" s="11">
        <v>27.4</v>
      </c>
      <c r="H962" s="1" t="s">
        <v>0</v>
      </c>
      <c r="I962">
        <v>0</v>
      </c>
      <c r="J962">
        <v>33.6</v>
      </c>
      <c r="K962">
        <v>24</v>
      </c>
      <c r="L962">
        <v>29.6</v>
      </c>
      <c r="M962">
        <f t="shared" si="59"/>
        <v>0</v>
      </c>
    </row>
    <row r="963" spans="1:13" x14ac:dyDescent="0.2">
      <c r="A963" s="9">
        <v>43698</v>
      </c>
      <c r="B963">
        <f t="shared" ref="B963:B1026" si="60">DAY(A963)</f>
        <v>21</v>
      </c>
      <c r="C963">
        <f t="shared" ref="C963:C1026" si="61">MONTH(A963)</f>
        <v>8</v>
      </c>
      <c r="D963">
        <f t="shared" ref="D963:D1026" si="62">YEAR(A963)</f>
        <v>2019</v>
      </c>
      <c r="E963" s="11">
        <v>3.1309999999999998</v>
      </c>
      <c r="F963" s="11">
        <v>101.54900000000001</v>
      </c>
      <c r="G963" s="11">
        <v>27.4</v>
      </c>
      <c r="H963" s="1" t="s">
        <v>0</v>
      </c>
      <c r="I963">
        <v>0</v>
      </c>
      <c r="J963">
        <v>32.1</v>
      </c>
      <c r="K963" t="s">
        <v>6</v>
      </c>
      <c r="L963">
        <v>27.1</v>
      </c>
      <c r="M963">
        <f t="shared" ref="M963:M1026" si="63">IF(ISNUMBER(I963), IF(I963&gt;0, 1, 0), "")</f>
        <v>0</v>
      </c>
    </row>
    <row r="964" spans="1:13" x14ac:dyDescent="0.2">
      <c r="A964" s="9">
        <v>43699</v>
      </c>
      <c r="B964">
        <f t="shared" si="60"/>
        <v>22</v>
      </c>
      <c r="C964">
        <f t="shared" si="61"/>
        <v>8</v>
      </c>
      <c r="D964">
        <f t="shared" si="62"/>
        <v>2019</v>
      </c>
      <c r="E964" s="11">
        <v>3.1309999999999998</v>
      </c>
      <c r="F964" s="11">
        <v>101.54900000000001</v>
      </c>
      <c r="G964" s="11">
        <v>27.4</v>
      </c>
      <c r="H964" s="1" t="s">
        <v>0</v>
      </c>
      <c r="I964">
        <v>4.3</v>
      </c>
      <c r="J964">
        <v>33.799999999999997</v>
      </c>
      <c r="K964" t="s">
        <v>6</v>
      </c>
      <c r="L964">
        <v>27.7</v>
      </c>
      <c r="M964">
        <f t="shared" si="63"/>
        <v>1</v>
      </c>
    </row>
    <row r="965" spans="1:13" x14ac:dyDescent="0.2">
      <c r="A965" s="9">
        <v>43700</v>
      </c>
      <c r="B965">
        <f t="shared" si="60"/>
        <v>23</v>
      </c>
      <c r="C965">
        <f t="shared" si="61"/>
        <v>8</v>
      </c>
      <c r="D965">
        <f t="shared" si="62"/>
        <v>2019</v>
      </c>
      <c r="E965" s="11">
        <v>3.1309999999999998</v>
      </c>
      <c r="F965" s="11">
        <v>101.54900000000001</v>
      </c>
      <c r="G965" s="11">
        <v>27.4</v>
      </c>
      <c r="H965" s="1" t="s">
        <v>0</v>
      </c>
      <c r="I965">
        <v>2.2999999999999998</v>
      </c>
      <c r="J965">
        <v>33.299999999999997</v>
      </c>
      <c r="K965">
        <v>24.4</v>
      </c>
      <c r="L965">
        <v>28.9</v>
      </c>
      <c r="M965">
        <f t="shared" si="63"/>
        <v>1</v>
      </c>
    </row>
    <row r="966" spans="1:13" x14ac:dyDescent="0.2">
      <c r="A966" s="9">
        <v>43701</v>
      </c>
      <c r="B966">
        <f t="shared" si="60"/>
        <v>24</v>
      </c>
      <c r="C966">
        <f t="shared" si="61"/>
        <v>8</v>
      </c>
      <c r="D966">
        <f t="shared" si="62"/>
        <v>2019</v>
      </c>
      <c r="E966" s="11">
        <v>3.1309999999999998</v>
      </c>
      <c r="F966" s="11">
        <v>101.54900000000001</v>
      </c>
      <c r="G966" s="11">
        <v>27.4</v>
      </c>
      <c r="H966" s="1" t="s">
        <v>0</v>
      </c>
      <c r="I966">
        <v>0</v>
      </c>
      <c r="J966">
        <v>33.299999999999997</v>
      </c>
      <c r="K966" t="s">
        <v>6</v>
      </c>
      <c r="L966">
        <v>28.5</v>
      </c>
      <c r="M966">
        <f t="shared" si="63"/>
        <v>0</v>
      </c>
    </row>
    <row r="967" spans="1:13" x14ac:dyDescent="0.2">
      <c r="A967" s="9">
        <v>43702</v>
      </c>
      <c r="B967">
        <f t="shared" si="60"/>
        <v>25</v>
      </c>
      <c r="C967">
        <f t="shared" si="61"/>
        <v>8</v>
      </c>
      <c r="D967">
        <f t="shared" si="62"/>
        <v>2019</v>
      </c>
      <c r="E967" s="11">
        <v>3.1309999999999998</v>
      </c>
      <c r="F967" s="11">
        <v>101.54900000000001</v>
      </c>
      <c r="G967" s="11">
        <v>27.4</v>
      </c>
      <c r="H967" s="1" t="s">
        <v>0</v>
      </c>
      <c r="I967">
        <v>1.5</v>
      </c>
      <c r="J967">
        <v>32.4</v>
      </c>
      <c r="K967">
        <v>25</v>
      </c>
      <c r="L967">
        <v>27.8</v>
      </c>
      <c r="M967">
        <f t="shared" si="63"/>
        <v>1</v>
      </c>
    </row>
    <row r="968" spans="1:13" x14ac:dyDescent="0.2">
      <c r="A968" s="9">
        <v>43703</v>
      </c>
      <c r="B968">
        <f t="shared" si="60"/>
        <v>26</v>
      </c>
      <c r="C968">
        <f t="shared" si="61"/>
        <v>8</v>
      </c>
      <c r="D968">
        <f t="shared" si="62"/>
        <v>2019</v>
      </c>
      <c r="E968" s="11">
        <v>3.1309999999999998</v>
      </c>
      <c r="F968" s="11">
        <v>101.54900000000001</v>
      </c>
      <c r="G968" s="11">
        <v>27.4</v>
      </c>
      <c r="H968" s="1" t="s">
        <v>0</v>
      </c>
      <c r="I968">
        <v>0.5</v>
      </c>
      <c r="J968">
        <v>33.299999999999997</v>
      </c>
      <c r="K968" t="s">
        <v>6</v>
      </c>
      <c r="L968">
        <v>28.6</v>
      </c>
      <c r="M968">
        <f t="shared" si="63"/>
        <v>1</v>
      </c>
    </row>
    <row r="969" spans="1:13" x14ac:dyDescent="0.2">
      <c r="A969" s="9">
        <v>43704</v>
      </c>
      <c r="B969">
        <f t="shared" si="60"/>
        <v>27</v>
      </c>
      <c r="C969">
        <f t="shared" si="61"/>
        <v>8</v>
      </c>
      <c r="D969">
        <f t="shared" si="62"/>
        <v>2019</v>
      </c>
      <c r="E969" s="11">
        <v>3.1309999999999998</v>
      </c>
      <c r="F969" s="11">
        <v>101.54900000000001</v>
      </c>
      <c r="G969" s="11">
        <v>27.4</v>
      </c>
      <c r="H969" s="1" t="s">
        <v>0</v>
      </c>
      <c r="I969">
        <v>0</v>
      </c>
      <c r="J969">
        <v>32.299999999999997</v>
      </c>
      <c r="K969" t="s">
        <v>6</v>
      </c>
      <c r="L969">
        <v>27.4</v>
      </c>
      <c r="M969">
        <f t="shared" si="63"/>
        <v>0</v>
      </c>
    </row>
    <row r="970" spans="1:13" x14ac:dyDescent="0.2">
      <c r="A970" s="9">
        <v>43705</v>
      </c>
      <c r="B970">
        <f t="shared" si="60"/>
        <v>28</v>
      </c>
      <c r="C970">
        <f t="shared" si="61"/>
        <v>8</v>
      </c>
      <c r="D970">
        <f t="shared" si="62"/>
        <v>2019</v>
      </c>
      <c r="E970" s="11">
        <v>3.1309999999999998</v>
      </c>
      <c r="F970" s="11">
        <v>101.54900000000001</v>
      </c>
      <c r="G970" s="11">
        <v>27.4</v>
      </c>
      <c r="H970" s="1" t="s">
        <v>0</v>
      </c>
      <c r="I970">
        <v>8.9</v>
      </c>
      <c r="J970">
        <v>33.1</v>
      </c>
      <c r="K970" t="s">
        <v>6</v>
      </c>
      <c r="L970">
        <v>27.1</v>
      </c>
      <c r="M970">
        <f t="shared" si="63"/>
        <v>1</v>
      </c>
    </row>
    <row r="971" spans="1:13" x14ac:dyDescent="0.2">
      <c r="A971" s="9">
        <v>43706</v>
      </c>
      <c r="B971">
        <f t="shared" si="60"/>
        <v>29</v>
      </c>
      <c r="C971">
        <f t="shared" si="61"/>
        <v>8</v>
      </c>
      <c r="D971">
        <f t="shared" si="62"/>
        <v>2019</v>
      </c>
      <c r="E971" s="11">
        <v>3.1309999999999998</v>
      </c>
      <c r="F971" s="11">
        <v>101.54900000000001</v>
      </c>
      <c r="G971" s="11">
        <v>27.4</v>
      </c>
      <c r="H971" s="1" t="s">
        <v>0</v>
      </c>
      <c r="I971">
        <v>0</v>
      </c>
      <c r="J971">
        <v>33.200000000000003</v>
      </c>
      <c r="K971">
        <v>24.2</v>
      </c>
      <c r="L971">
        <v>28.9</v>
      </c>
      <c r="M971">
        <f t="shared" si="63"/>
        <v>0</v>
      </c>
    </row>
    <row r="972" spans="1:13" x14ac:dyDescent="0.2">
      <c r="A972" s="9">
        <v>43707</v>
      </c>
      <c r="B972">
        <f t="shared" si="60"/>
        <v>30</v>
      </c>
      <c r="C972">
        <f t="shared" si="61"/>
        <v>8</v>
      </c>
      <c r="D972">
        <f t="shared" si="62"/>
        <v>2019</v>
      </c>
      <c r="E972" s="11">
        <v>3.1309999999999998</v>
      </c>
      <c r="F972" s="11">
        <v>101.54900000000001</v>
      </c>
      <c r="G972" s="11">
        <v>27.4</v>
      </c>
      <c r="H972" s="1" t="s">
        <v>0</v>
      </c>
      <c r="I972">
        <v>0</v>
      </c>
      <c r="J972" t="s">
        <v>6</v>
      </c>
      <c r="K972" t="s">
        <v>6</v>
      </c>
      <c r="L972">
        <v>28.8</v>
      </c>
      <c r="M972">
        <f t="shared" si="63"/>
        <v>0</v>
      </c>
    </row>
    <row r="973" spans="1:13" x14ac:dyDescent="0.2">
      <c r="A973" s="9">
        <v>43708</v>
      </c>
      <c r="B973">
        <f t="shared" si="60"/>
        <v>31</v>
      </c>
      <c r="C973">
        <f t="shared" si="61"/>
        <v>8</v>
      </c>
      <c r="D973">
        <f t="shared" si="62"/>
        <v>2019</v>
      </c>
      <c r="E973" s="11">
        <v>3.1309999999999998</v>
      </c>
      <c r="F973" s="11">
        <v>101.54900000000001</v>
      </c>
      <c r="G973" s="11">
        <v>27.4</v>
      </c>
      <c r="H973" s="1" t="s">
        <v>0</v>
      </c>
      <c r="I973">
        <v>0</v>
      </c>
      <c r="J973">
        <v>34.1</v>
      </c>
      <c r="K973" t="s">
        <v>6</v>
      </c>
      <c r="L973">
        <v>29</v>
      </c>
      <c r="M973">
        <f t="shared" si="63"/>
        <v>0</v>
      </c>
    </row>
    <row r="974" spans="1:13" x14ac:dyDescent="0.2">
      <c r="A974" s="9">
        <v>43709</v>
      </c>
      <c r="B974">
        <f t="shared" si="60"/>
        <v>1</v>
      </c>
      <c r="C974">
        <f t="shared" si="61"/>
        <v>9</v>
      </c>
      <c r="D974">
        <f t="shared" si="62"/>
        <v>2019</v>
      </c>
      <c r="E974" s="11">
        <v>3.1309999999999998</v>
      </c>
      <c r="F974" s="11">
        <v>101.54900000000001</v>
      </c>
      <c r="G974" s="11">
        <v>27.4</v>
      </c>
      <c r="H974" s="1" t="s">
        <v>0</v>
      </c>
      <c r="I974">
        <v>0</v>
      </c>
      <c r="J974" t="s">
        <v>6</v>
      </c>
      <c r="K974">
        <v>23.8</v>
      </c>
      <c r="L974">
        <v>29.4</v>
      </c>
      <c r="M974">
        <f t="shared" si="63"/>
        <v>0</v>
      </c>
    </row>
    <row r="975" spans="1:13" x14ac:dyDescent="0.2">
      <c r="A975" s="9">
        <v>43710</v>
      </c>
      <c r="B975">
        <f t="shared" si="60"/>
        <v>2</v>
      </c>
      <c r="C975">
        <f t="shared" si="61"/>
        <v>9</v>
      </c>
      <c r="D975">
        <f t="shared" si="62"/>
        <v>2019</v>
      </c>
      <c r="E975" s="11">
        <v>3.1309999999999998</v>
      </c>
      <c r="F975" s="11">
        <v>101.54900000000001</v>
      </c>
      <c r="G975" s="11">
        <v>27.4</v>
      </c>
      <c r="H975" s="1" t="s">
        <v>0</v>
      </c>
      <c r="I975">
        <v>0</v>
      </c>
      <c r="J975">
        <v>35</v>
      </c>
      <c r="K975">
        <v>24.8</v>
      </c>
      <c r="L975">
        <v>29.9</v>
      </c>
      <c r="M975">
        <f t="shared" si="63"/>
        <v>0</v>
      </c>
    </row>
    <row r="976" spans="1:13" x14ac:dyDescent="0.2">
      <c r="A976" s="9">
        <v>43711</v>
      </c>
      <c r="B976">
        <f t="shared" si="60"/>
        <v>3</v>
      </c>
      <c r="C976">
        <f t="shared" si="61"/>
        <v>9</v>
      </c>
      <c r="D976">
        <f t="shared" si="62"/>
        <v>2019</v>
      </c>
      <c r="E976" s="11">
        <v>3.1309999999999998</v>
      </c>
      <c r="F976" s="11">
        <v>101.54900000000001</v>
      </c>
      <c r="G976" s="11">
        <v>27.4</v>
      </c>
      <c r="H976" s="1" t="s">
        <v>0</v>
      </c>
      <c r="I976">
        <v>0</v>
      </c>
      <c r="J976" t="s">
        <v>6</v>
      </c>
      <c r="K976" t="s">
        <v>6</v>
      </c>
      <c r="L976">
        <v>28</v>
      </c>
      <c r="M976">
        <f t="shared" si="63"/>
        <v>0</v>
      </c>
    </row>
    <row r="977" spans="1:13" x14ac:dyDescent="0.2">
      <c r="A977" s="9">
        <v>43712</v>
      </c>
      <c r="B977">
        <f t="shared" si="60"/>
        <v>4</v>
      </c>
      <c r="C977">
        <f t="shared" si="61"/>
        <v>9</v>
      </c>
      <c r="D977">
        <f t="shared" si="62"/>
        <v>2019</v>
      </c>
      <c r="E977" s="11">
        <v>3.1309999999999998</v>
      </c>
      <c r="F977" s="11">
        <v>101.54900000000001</v>
      </c>
      <c r="G977" s="11">
        <v>27.4</v>
      </c>
      <c r="H977" s="1" t="s">
        <v>0</v>
      </c>
      <c r="I977">
        <v>27.7</v>
      </c>
      <c r="J977">
        <v>32.799999999999997</v>
      </c>
      <c r="K977">
        <v>23</v>
      </c>
      <c r="L977">
        <v>28.4</v>
      </c>
      <c r="M977">
        <f t="shared" si="63"/>
        <v>1</v>
      </c>
    </row>
    <row r="978" spans="1:13" x14ac:dyDescent="0.2">
      <c r="A978" s="9">
        <v>43713</v>
      </c>
      <c r="B978">
        <f t="shared" si="60"/>
        <v>5</v>
      </c>
      <c r="C978">
        <f t="shared" si="61"/>
        <v>9</v>
      </c>
      <c r="D978">
        <f t="shared" si="62"/>
        <v>2019</v>
      </c>
      <c r="E978" s="11">
        <v>3.1309999999999998</v>
      </c>
      <c r="F978" s="11">
        <v>101.54900000000001</v>
      </c>
      <c r="G978" s="11">
        <v>27.4</v>
      </c>
      <c r="H978" s="1" t="s">
        <v>0</v>
      </c>
      <c r="I978">
        <v>0.3</v>
      </c>
      <c r="J978">
        <v>33.200000000000003</v>
      </c>
      <c r="K978">
        <v>23.8</v>
      </c>
      <c r="L978">
        <v>29.7</v>
      </c>
      <c r="M978">
        <f t="shared" si="63"/>
        <v>1</v>
      </c>
    </row>
    <row r="979" spans="1:13" x14ac:dyDescent="0.2">
      <c r="A979" s="9">
        <v>43714</v>
      </c>
      <c r="B979">
        <f t="shared" si="60"/>
        <v>6</v>
      </c>
      <c r="C979">
        <f t="shared" si="61"/>
        <v>9</v>
      </c>
      <c r="D979">
        <f t="shared" si="62"/>
        <v>2019</v>
      </c>
      <c r="E979" s="11">
        <v>3.1309999999999998</v>
      </c>
      <c r="F979" s="11">
        <v>101.54900000000001</v>
      </c>
      <c r="G979" s="11">
        <v>27.4</v>
      </c>
      <c r="H979" s="1" t="s">
        <v>0</v>
      </c>
      <c r="I979">
        <v>0</v>
      </c>
      <c r="J979">
        <v>34.200000000000003</v>
      </c>
      <c r="K979" t="s">
        <v>6</v>
      </c>
      <c r="L979">
        <v>30.1</v>
      </c>
      <c r="M979">
        <f t="shared" si="63"/>
        <v>0</v>
      </c>
    </row>
    <row r="980" spans="1:13" x14ac:dyDescent="0.2">
      <c r="A980" s="9">
        <v>43715</v>
      </c>
      <c r="B980">
        <f t="shared" si="60"/>
        <v>7</v>
      </c>
      <c r="C980">
        <f t="shared" si="61"/>
        <v>9</v>
      </c>
      <c r="D980">
        <f t="shared" si="62"/>
        <v>2019</v>
      </c>
      <c r="E980" s="11">
        <v>3.1309999999999998</v>
      </c>
      <c r="F980" s="11">
        <v>101.54900000000001</v>
      </c>
      <c r="G980" s="11">
        <v>27.4</v>
      </c>
      <c r="H980" s="1" t="s">
        <v>0</v>
      </c>
      <c r="I980">
        <v>0</v>
      </c>
      <c r="J980">
        <v>34.4</v>
      </c>
      <c r="K980">
        <v>26.2</v>
      </c>
      <c r="L980">
        <v>29.3</v>
      </c>
      <c r="M980">
        <f t="shared" si="63"/>
        <v>0</v>
      </c>
    </row>
    <row r="981" spans="1:13" x14ac:dyDescent="0.2">
      <c r="A981" s="9">
        <v>43716</v>
      </c>
      <c r="B981">
        <f t="shared" si="60"/>
        <v>8</v>
      </c>
      <c r="C981">
        <f t="shared" si="61"/>
        <v>9</v>
      </c>
      <c r="D981">
        <f t="shared" si="62"/>
        <v>2019</v>
      </c>
      <c r="E981" s="11">
        <v>3.1309999999999998</v>
      </c>
      <c r="F981" s="11">
        <v>101.54900000000001</v>
      </c>
      <c r="G981" s="11">
        <v>27.4</v>
      </c>
      <c r="H981" s="1" t="s">
        <v>0</v>
      </c>
      <c r="I981">
        <v>7.4</v>
      </c>
      <c r="J981">
        <v>33.4</v>
      </c>
      <c r="K981" t="s">
        <v>6</v>
      </c>
      <c r="L981">
        <v>29.1</v>
      </c>
      <c r="M981">
        <f t="shared" si="63"/>
        <v>1</v>
      </c>
    </row>
    <row r="982" spans="1:13" x14ac:dyDescent="0.2">
      <c r="A982" s="9">
        <v>43717</v>
      </c>
      <c r="B982">
        <f t="shared" si="60"/>
        <v>9</v>
      </c>
      <c r="C982">
        <f t="shared" si="61"/>
        <v>9</v>
      </c>
      <c r="D982">
        <f t="shared" si="62"/>
        <v>2019</v>
      </c>
      <c r="E982" s="11">
        <v>3.1309999999999998</v>
      </c>
      <c r="F982" s="11">
        <v>101.54900000000001</v>
      </c>
      <c r="G982" s="11">
        <v>27.4</v>
      </c>
      <c r="H982" s="1" t="s">
        <v>0</v>
      </c>
      <c r="I982">
        <v>0</v>
      </c>
      <c r="J982" t="s">
        <v>6</v>
      </c>
      <c r="K982">
        <v>25.9</v>
      </c>
      <c r="L982">
        <v>29.2</v>
      </c>
      <c r="M982">
        <f t="shared" si="63"/>
        <v>0</v>
      </c>
    </row>
    <row r="983" spans="1:13" x14ac:dyDescent="0.2">
      <c r="A983" s="9">
        <v>43718</v>
      </c>
      <c r="B983">
        <f t="shared" si="60"/>
        <v>10</v>
      </c>
      <c r="C983">
        <f t="shared" si="61"/>
        <v>9</v>
      </c>
      <c r="D983">
        <f t="shared" si="62"/>
        <v>2019</v>
      </c>
      <c r="E983" s="11">
        <v>3.1309999999999998</v>
      </c>
      <c r="F983" s="11">
        <v>101.54900000000001</v>
      </c>
      <c r="G983" s="11">
        <v>27.4</v>
      </c>
      <c r="H983" s="1" t="s">
        <v>0</v>
      </c>
      <c r="I983">
        <v>0</v>
      </c>
      <c r="J983">
        <v>34</v>
      </c>
      <c r="K983">
        <v>26.1</v>
      </c>
      <c r="L983">
        <v>30.3</v>
      </c>
      <c r="M983">
        <f t="shared" si="63"/>
        <v>0</v>
      </c>
    </row>
    <row r="984" spans="1:13" x14ac:dyDescent="0.2">
      <c r="A984" s="9">
        <v>43719</v>
      </c>
      <c r="B984">
        <f t="shared" si="60"/>
        <v>11</v>
      </c>
      <c r="C984">
        <f t="shared" si="61"/>
        <v>9</v>
      </c>
      <c r="D984">
        <f t="shared" si="62"/>
        <v>2019</v>
      </c>
      <c r="E984" s="11">
        <v>3.1309999999999998</v>
      </c>
      <c r="F984" s="11">
        <v>101.54900000000001</v>
      </c>
      <c r="G984" s="11">
        <v>27.4</v>
      </c>
      <c r="H984" s="1" t="s">
        <v>0</v>
      </c>
      <c r="I984">
        <v>0</v>
      </c>
      <c r="J984">
        <v>35</v>
      </c>
      <c r="K984" t="s">
        <v>6</v>
      </c>
      <c r="L984">
        <v>30.2</v>
      </c>
      <c r="M984">
        <f t="shared" si="63"/>
        <v>0</v>
      </c>
    </row>
    <row r="985" spans="1:13" x14ac:dyDescent="0.2">
      <c r="A985" s="9">
        <v>43720</v>
      </c>
      <c r="B985">
        <f t="shared" si="60"/>
        <v>12</v>
      </c>
      <c r="C985">
        <f t="shared" si="61"/>
        <v>9</v>
      </c>
      <c r="D985">
        <f t="shared" si="62"/>
        <v>2019</v>
      </c>
      <c r="E985" s="11">
        <v>3.1309999999999998</v>
      </c>
      <c r="F985" s="11">
        <v>101.54900000000001</v>
      </c>
      <c r="G985" s="11">
        <v>27.4</v>
      </c>
      <c r="H985" s="1" t="s">
        <v>0</v>
      </c>
      <c r="I985">
        <v>0</v>
      </c>
      <c r="J985">
        <v>34.1</v>
      </c>
      <c r="K985" t="s">
        <v>6</v>
      </c>
      <c r="L985">
        <v>29.2</v>
      </c>
      <c r="M985">
        <f t="shared" si="63"/>
        <v>0</v>
      </c>
    </row>
    <row r="986" spans="1:13" x14ac:dyDescent="0.2">
      <c r="A986" s="9">
        <v>43721</v>
      </c>
      <c r="B986">
        <f t="shared" si="60"/>
        <v>13</v>
      </c>
      <c r="C986">
        <f t="shared" si="61"/>
        <v>9</v>
      </c>
      <c r="D986">
        <f t="shared" si="62"/>
        <v>2019</v>
      </c>
      <c r="E986" s="11">
        <v>3.1309999999999998</v>
      </c>
      <c r="F986" s="11">
        <v>101.54900000000001</v>
      </c>
      <c r="G986" s="11">
        <v>27.4</v>
      </c>
      <c r="H986" s="1" t="s">
        <v>0</v>
      </c>
      <c r="I986">
        <v>0</v>
      </c>
      <c r="J986">
        <v>32.6</v>
      </c>
      <c r="K986" t="s">
        <v>6</v>
      </c>
      <c r="L986">
        <v>28.3</v>
      </c>
      <c r="M986">
        <f t="shared" si="63"/>
        <v>0</v>
      </c>
    </row>
    <row r="987" spans="1:13" x14ac:dyDescent="0.2">
      <c r="A987" s="9">
        <v>43722</v>
      </c>
      <c r="B987">
        <f t="shared" si="60"/>
        <v>14</v>
      </c>
      <c r="C987">
        <f t="shared" si="61"/>
        <v>9</v>
      </c>
      <c r="D987">
        <f t="shared" si="62"/>
        <v>2019</v>
      </c>
      <c r="E987" s="11">
        <v>3.1309999999999998</v>
      </c>
      <c r="F987" s="11">
        <v>101.54900000000001</v>
      </c>
      <c r="G987" s="11">
        <v>27.4</v>
      </c>
      <c r="H987" s="1" t="s">
        <v>0</v>
      </c>
      <c r="I987">
        <v>0</v>
      </c>
      <c r="J987">
        <v>31.3</v>
      </c>
      <c r="K987">
        <v>24.6</v>
      </c>
      <c r="L987">
        <v>27.7</v>
      </c>
      <c r="M987">
        <f t="shared" si="63"/>
        <v>0</v>
      </c>
    </row>
    <row r="988" spans="1:13" x14ac:dyDescent="0.2">
      <c r="A988" s="9">
        <v>43723</v>
      </c>
      <c r="B988">
        <f t="shared" si="60"/>
        <v>15</v>
      </c>
      <c r="C988">
        <f t="shared" si="61"/>
        <v>9</v>
      </c>
      <c r="D988">
        <f t="shared" si="62"/>
        <v>2019</v>
      </c>
      <c r="E988" s="11">
        <v>3.1309999999999998</v>
      </c>
      <c r="F988" s="11">
        <v>101.54900000000001</v>
      </c>
      <c r="G988" s="11">
        <v>27.4</v>
      </c>
      <c r="H988" s="1" t="s">
        <v>0</v>
      </c>
      <c r="I988">
        <v>6.9</v>
      </c>
      <c r="J988">
        <v>33.299999999999997</v>
      </c>
      <c r="K988">
        <v>25.3</v>
      </c>
      <c r="L988">
        <v>28.9</v>
      </c>
      <c r="M988">
        <f t="shared" si="63"/>
        <v>1</v>
      </c>
    </row>
    <row r="989" spans="1:13" x14ac:dyDescent="0.2">
      <c r="A989" s="9">
        <v>43724</v>
      </c>
      <c r="B989">
        <f t="shared" si="60"/>
        <v>16</v>
      </c>
      <c r="C989">
        <f t="shared" si="61"/>
        <v>9</v>
      </c>
      <c r="D989">
        <f t="shared" si="62"/>
        <v>2019</v>
      </c>
      <c r="E989" s="11">
        <v>3.1309999999999998</v>
      </c>
      <c r="F989" s="11">
        <v>101.54900000000001</v>
      </c>
      <c r="G989" s="11">
        <v>27.4</v>
      </c>
      <c r="H989" s="1" t="s">
        <v>0</v>
      </c>
      <c r="I989">
        <v>0</v>
      </c>
      <c r="J989" t="s">
        <v>6</v>
      </c>
      <c r="K989" t="s">
        <v>6</v>
      </c>
      <c r="L989">
        <v>27.3</v>
      </c>
      <c r="M989">
        <f t="shared" si="63"/>
        <v>0</v>
      </c>
    </row>
    <row r="990" spans="1:13" x14ac:dyDescent="0.2">
      <c r="A990" s="9">
        <v>43725</v>
      </c>
      <c r="B990">
        <f t="shared" si="60"/>
        <v>17</v>
      </c>
      <c r="C990">
        <f t="shared" si="61"/>
        <v>9</v>
      </c>
      <c r="D990">
        <f t="shared" si="62"/>
        <v>2019</v>
      </c>
      <c r="E990" s="11">
        <v>3.1309999999999998</v>
      </c>
      <c r="F990" s="11">
        <v>101.54900000000001</v>
      </c>
      <c r="G990" s="11">
        <v>27.4</v>
      </c>
      <c r="H990" s="1" t="s">
        <v>0</v>
      </c>
      <c r="I990">
        <v>0</v>
      </c>
      <c r="J990">
        <v>32.700000000000003</v>
      </c>
      <c r="K990">
        <v>23.7</v>
      </c>
      <c r="L990">
        <v>28.9</v>
      </c>
      <c r="M990">
        <f t="shared" si="63"/>
        <v>0</v>
      </c>
    </row>
    <row r="991" spans="1:13" x14ac:dyDescent="0.2">
      <c r="A991" s="9">
        <v>43726</v>
      </c>
      <c r="B991">
        <f t="shared" si="60"/>
        <v>18</v>
      </c>
      <c r="C991">
        <f t="shared" si="61"/>
        <v>9</v>
      </c>
      <c r="D991">
        <f t="shared" si="62"/>
        <v>2019</v>
      </c>
      <c r="E991" s="11">
        <v>3.1309999999999998</v>
      </c>
      <c r="F991" s="11">
        <v>101.54900000000001</v>
      </c>
      <c r="G991" s="11">
        <v>27.4</v>
      </c>
      <c r="H991" s="1" t="s">
        <v>0</v>
      </c>
      <c r="I991">
        <v>0</v>
      </c>
      <c r="J991">
        <v>33</v>
      </c>
      <c r="K991">
        <v>24.6</v>
      </c>
      <c r="L991">
        <v>28.1</v>
      </c>
      <c r="M991">
        <f t="shared" si="63"/>
        <v>0</v>
      </c>
    </row>
    <row r="992" spans="1:13" x14ac:dyDescent="0.2">
      <c r="A992" s="9">
        <v>43727</v>
      </c>
      <c r="B992">
        <f t="shared" si="60"/>
        <v>19</v>
      </c>
      <c r="C992">
        <f t="shared" si="61"/>
        <v>9</v>
      </c>
      <c r="D992">
        <f t="shared" si="62"/>
        <v>2019</v>
      </c>
      <c r="E992" s="11">
        <v>3.1309999999999998</v>
      </c>
      <c r="F992" s="11">
        <v>101.54900000000001</v>
      </c>
      <c r="G992" s="11">
        <v>27.4</v>
      </c>
      <c r="H992" s="1" t="s">
        <v>0</v>
      </c>
      <c r="I992">
        <v>0.3</v>
      </c>
      <c r="J992">
        <v>34.200000000000003</v>
      </c>
      <c r="K992" t="s">
        <v>6</v>
      </c>
      <c r="L992">
        <v>29.3</v>
      </c>
      <c r="M992">
        <f t="shared" si="63"/>
        <v>1</v>
      </c>
    </row>
    <row r="993" spans="1:13" x14ac:dyDescent="0.2">
      <c r="A993" s="9">
        <v>43728</v>
      </c>
      <c r="B993">
        <f t="shared" si="60"/>
        <v>20</v>
      </c>
      <c r="C993">
        <f t="shared" si="61"/>
        <v>9</v>
      </c>
      <c r="D993">
        <f t="shared" si="62"/>
        <v>2019</v>
      </c>
      <c r="E993" s="11">
        <v>3.1309999999999998</v>
      </c>
      <c r="F993" s="11">
        <v>101.54900000000001</v>
      </c>
      <c r="G993" s="11">
        <v>27.4</v>
      </c>
      <c r="H993" s="1" t="s">
        <v>0</v>
      </c>
      <c r="I993">
        <v>0</v>
      </c>
      <c r="J993">
        <v>33.700000000000003</v>
      </c>
      <c r="K993" t="s">
        <v>6</v>
      </c>
      <c r="L993">
        <v>28.7</v>
      </c>
      <c r="M993">
        <f t="shared" si="63"/>
        <v>0</v>
      </c>
    </row>
    <row r="994" spans="1:13" x14ac:dyDescent="0.2">
      <c r="A994" s="9">
        <v>43729</v>
      </c>
      <c r="B994">
        <f t="shared" si="60"/>
        <v>21</v>
      </c>
      <c r="C994">
        <f t="shared" si="61"/>
        <v>9</v>
      </c>
      <c r="D994">
        <f t="shared" si="62"/>
        <v>2019</v>
      </c>
      <c r="E994" s="11">
        <v>3.1309999999999998</v>
      </c>
      <c r="F994" s="11">
        <v>101.54900000000001</v>
      </c>
      <c r="G994" s="11">
        <v>27.4</v>
      </c>
      <c r="H994" s="1" t="s">
        <v>0</v>
      </c>
      <c r="I994">
        <v>0</v>
      </c>
      <c r="J994">
        <v>34.5</v>
      </c>
      <c r="K994">
        <v>25</v>
      </c>
      <c r="L994">
        <v>28.6</v>
      </c>
      <c r="M994">
        <f t="shared" si="63"/>
        <v>0</v>
      </c>
    </row>
    <row r="995" spans="1:13" x14ac:dyDescent="0.2">
      <c r="A995" s="9">
        <v>43730</v>
      </c>
      <c r="B995">
        <f t="shared" si="60"/>
        <v>22</v>
      </c>
      <c r="C995">
        <f t="shared" si="61"/>
        <v>9</v>
      </c>
      <c r="D995">
        <f t="shared" si="62"/>
        <v>2019</v>
      </c>
      <c r="E995" s="11">
        <v>3.1309999999999998</v>
      </c>
      <c r="F995" s="11">
        <v>101.54900000000001</v>
      </c>
      <c r="G995" s="11">
        <v>27.4</v>
      </c>
      <c r="H995" s="1" t="s">
        <v>0</v>
      </c>
      <c r="I995">
        <v>0</v>
      </c>
      <c r="J995" t="s">
        <v>6</v>
      </c>
      <c r="K995" t="s">
        <v>6</v>
      </c>
      <c r="L995">
        <v>28.9</v>
      </c>
      <c r="M995">
        <f t="shared" si="63"/>
        <v>0</v>
      </c>
    </row>
    <row r="996" spans="1:13" x14ac:dyDescent="0.2">
      <c r="A996" s="9">
        <v>43731</v>
      </c>
      <c r="B996">
        <f t="shared" si="60"/>
        <v>23</v>
      </c>
      <c r="C996">
        <f t="shared" si="61"/>
        <v>9</v>
      </c>
      <c r="D996">
        <f t="shared" si="62"/>
        <v>2019</v>
      </c>
      <c r="E996" s="11">
        <v>3.1309999999999998</v>
      </c>
      <c r="F996" s="11">
        <v>101.54900000000001</v>
      </c>
      <c r="G996" s="11">
        <v>27.4</v>
      </c>
      <c r="H996" s="1" t="s">
        <v>0</v>
      </c>
      <c r="I996">
        <v>0</v>
      </c>
      <c r="J996" t="s">
        <v>6</v>
      </c>
      <c r="K996">
        <v>24</v>
      </c>
      <c r="L996">
        <v>29.7</v>
      </c>
      <c r="M996">
        <f t="shared" si="63"/>
        <v>0</v>
      </c>
    </row>
    <row r="997" spans="1:13" x14ac:dyDescent="0.2">
      <c r="A997" s="9">
        <v>43732</v>
      </c>
      <c r="B997">
        <f t="shared" si="60"/>
        <v>24</v>
      </c>
      <c r="C997">
        <f t="shared" si="61"/>
        <v>9</v>
      </c>
      <c r="D997">
        <f t="shared" si="62"/>
        <v>2019</v>
      </c>
      <c r="E997" s="11">
        <v>3.1309999999999998</v>
      </c>
      <c r="F997" s="11">
        <v>101.54900000000001</v>
      </c>
      <c r="G997" s="11">
        <v>27.4</v>
      </c>
      <c r="H997" s="1" t="s">
        <v>0</v>
      </c>
      <c r="I997">
        <v>0</v>
      </c>
      <c r="J997">
        <v>35.9</v>
      </c>
      <c r="K997" t="s">
        <v>6</v>
      </c>
      <c r="L997">
        <v>28.4</v>
      </c>
      <c r="M997">
        <f t="shared" si="63"/>
        <v>0</v>
      </c>
    </row>
    <row r="998" spans="1:13" x14ac:dyDescent="0.2">
      <c r="A998" s="9">
        <v>43733</v>
      </c>
      <c r="B998">
        <f t="shared" si="60"/>
        <v>25</v>
      </c>
      <c r="C998">
        <f t="shared" si="61"/>
        <v>9</v>
      </c>
      <c r="D998">
        <f t="shared" si="62"/>
        <v>2019</v>
      </c>
      <c r="E998" s="11">
        <v>3.1309999999999998</v>
      </c>
      <c r="F998" s="11">
        <v>101.54900000000001</v>
      </c>
      <c r="G998" s="11">
        <v>27.4</v>
      </c>
      <c r="H998" s="1" t="s">
        <v>0</v>
      </c>
      <c r="I998">
        <v>2.2999999999999998</v>
      </c>
      <c r="J998" t="s">
        <v>6</v>
      </c>
      <c r="K998">
        <v>24.7</v>
      </c>
      <c r="L998">
        <v>26.8</v>
      </c>
      <c r="M998">
        <f t="shared" si="63"/>
        <v>1</v>
      </c>
    </row>
    <row r="999" spans="1:13" x14ac:dyDescent="0.2">
      <c r="A999" s="9">
        <v>43734</v>
      </c>
      <c r="B999">
        <f t="shared" si="60"/>
        <v>26</v>
      </c>
      <c r="C999">
        <f t="shared" si="61"/>
        <v>9</v>
      </c>
      <c r="D999">
        <f t="shared" si="62"/>
        <v>2019</v>
      </c>
      <c r="E999" s="11">
        <v>3.1309999999999998</v>
      </c>
      <c r="F999" s="11">
        <v>101.54900000000001</v>
      </c>
      <c r="G999" s="11">
        <v>27.4</v>
      </c>
      <c r="H999" s="1" t="s">
        <v>0</v>
      </c>
      <c r="I999">
        <v>26.4</v>
      </c>
      <c r="J999" t="s">
        <v>6</v>
      </c>
      <c r="K999">
        <v>24.7</v>
      </c>
      <c r="L999">
        <v>27.5</v>
      </c>
      <c r="M999">
        <f t="shared" si="63"/>
        <v>1</v>
      </c>
    </row>
    <row r="1000" spans="1:13" x14ac:dyDescent="0.2">
      <c r="A1000" s="9">
        <v>43735</v>
      </c>
      <c r="B1000">
        <f t="shared" si="60"/>
        <v>27</v>
      </c>
      <c r="C1000">
        <f t="shared" si="61"/>
        <v>9</v>
      </c>
      <c r="D1000">
        <f t="shared" si="62"/>
        <v>2019</v>
      </c>
      <c r="E1000" s="11">
        <v>3.1309999999999998</v>
      </c>
      <c r="F1000" s="11">
        <v>101.54900000000001</v>
      </c>
      <c r="G1000" s="11">
        <v>27.4</v>
      </c>
      <c r="H1000" s="1" t="s">
        <v>0</v>
      </c>
      <c r="I1000">
        <v>0</v>
      </c>
      <c r="J1000">
        <v>33.6</v>
      </c>
      <c r="K1000" t="s">
        <v>6</v>
      </c>
      <c r="L1000">
        <v>26.7</v>
      </c>
      <c r="M1000">
        <f t="shared" si="63"/>
        <v>0</v>
      </c>
    </row>
    <row r="1001" spans="1:13" x14ac:dyDescent="0.2">
      <c r="A1001" s="9">
        <v>43736</v>
      </c>
      <c r="B1001">
        <f t="shared" si="60"/>
        <v>28</v>
      </c>
      <c r="C1001">
        <f t="shared" si="61"/>
        <v>9</v>
      </c>
      <c r="D1001">
        <f t="shared" si="62"/>
        <v>2019</v>
      </c>
      <c r="E1001" s="11">
        <v>3.1309999999999998</v>
      </c>
      <c r="F1001" s="11">
        <v>101.54900000000001</v>
      </c>
      <c r="G1001" s="11">
        <v>27.4</v>
      </c>
      <c r="H1001" s="1" t="s">
        <v>0</v>
      </c>
      <c r="I1001">
        <v>19.3</v>
      </c>
      <c r="J1001">
        <v>33.299999999999997</v>
      </c>
      <c r="K1001">
        <v>23.6</v>
      </c>
      <c r="L1001">
        <v>27.4</v>
      </c>
      <c r="M1001">
        <f t="shared" si="63"/>
        <v>1</v>
      </c>
    </row>
    <row r="1002" spans="1:13" x14ac:dyDescent="0.2">
      <c r="A1002" s="9">
        <v>43737</v>
      </c>
      <c r="B1002">
        <f t="shared" si="60"/>
        <v>29</v>
      </c>
      <c r="C1002">
        <f t="shared" si="61"/>
        <v>9</v>
      </c>
      <c r="D1002">
        <f t="shared" si="62"/>
        <v>2019</v>
      </c>
      <c r="E1002" s="11">
        <v>3.1309999999999998</v>
      </c>
      <c r="F1002" s="11">
        <v>101.54900000000001</v>
      </c>
      <c r="G1002" s="11">
        <v>27.4</v>
      </c>
      <c r="H1002" s="1" t="s">
        <v>0</v>
      </c>
      <c r="I1002">
        <v>35.1</v>
      </c>
      <c r="J1002">
        <v>32.799999999999997</v>
      </c>
      <c r="K1002" t="s">
        <v>6</v>
      </c>
      <c r="L1002">
        <v>26.3</v>
      </c>
      <c r="M1002">
        <f t="shared" si="63"/>
        <v>1</v>
      </c>
    </row>
    <row r="1003" spans="1:13" x14ac:dyDescent="0.2">
      <c r="A1003" s="9">
        <v>43738</v>
      </c>
      <c r="B1003">
        <f t="shared" si="60"/>
        <v>30</v>
      </c>
      <c r="C1003">
        <f t="shared" si="61"/>
        <v>9</v>
      </c>
      <c r="D1003">
        <f t="shared" si="62"/>
        <v>2019</v>
      </c>
      <c r="E1003" s="11">
        <v>3.1309999999999998</v>
      </c>
      <c r="F1003" s="11">
        <v>101.54900000000001</v>
      </c>
      <c r="G1003" s="11">
        <v>27.4</v>
      </c>
      <c r="H1003" s="1" t="s">
        <v>0</v>
      </c>
      <c r="I1003">
        <v>10.4</v>
      </c>
      <c r="J1003">
        <v>31.5</v>
      </c>
      <c r="K1003">
        <v>23.8</v>
      </c>
      <c r="L1003">
        <v>26.6</v>
      </c>
      <c r="M1003">
        <f t="shared" si="63"/>
        <v>1</v>
      </c>
    </row>
    <row r="1004" spans="1:13" x14ac:dyDescent="0.2">
      <c r="A1004" s="9">
        <v>43739</v>
      </c>
      <c r="B1004">
        <f t="shared" si="60"/>
        <v>1</v>
      </c>
      <c r="C1004">
        <f t="shared" si="61"/>
        <v>10</v>
      </c>
      <c r="D1004">
        <f t="shared" si="62"/>
        <v>2019</v>
      </c>
      <c r="E1004" s="11">
        <v>3.1309999999999998</v>
      </c>
      <c r="F1004" s="11">
        <v>101.54900000000001</v>
      </c>
      <c r="G1004" s="11">
        <v>27.4</v>
      </c>
      <c r="H1004" s="1" t="s">
        <v>0</v>
      </c>
      <c r="I1004">
        <v>1.8</v>
      </c>
      <c r="J1004">
        <v>33.200000000000003</v>
      </c>
      <c r="K1004" t="s">
        <v>6</v>
      </c>
      <c r="L1004">
        <v>26.4</v>
      </c>
      <c r="M1004">
        <f t="shared" si="63"/>
        <v>1</v>
      </c>
    </row>
    <row r="1005" spans="1:13" x14ac:dyDescent="0.2">
      <c r="A1005" s="9">
        <v>43740</v>
      </c>
      <c r="B1005">
        <f t="shared" si="60"/>
        <v>2</v>
      </c>
      <c r="C1005">
        <f t="shared" si="61"/>
        <v>10</v>
      </c>
      <c r="D1005">
        <f t="shared" si="62"/>
        <v>2019</v>
      </c>
      <c r="E1005" s="11">
        <v>3.1309999999999998</v>
      </c>
      <c r="F1005" s="11">
        <v>101.54900000000001</v>
      </c>
      <c r="G1005" s="11">
        <v>27.4</v>
      </c>
      <c r="H1005" s="1" t="s">
        <v>0</v>
      </c>
      <c r="I1005">
        <v>13.5</v>
      </c>
      <c r="J1005">
        <v>33.1</v>
      </c>
      <c r="K1005">
        <v>23.3</v>
      </c>
      <c r="L1005">
        <v>27.4</v>
      </c>
      <c r="M1005">
        <f t="shared" si="63"/>
        <v>1</v>
      </c>
    </row>
    <row r="1006" spans="1:13" x14ac:dyDescent="0.2">
      <c r="A1006" s="9">
        <v>43741</v>
      </c>
      <c r="B1006">
        <f t="shared" si="60"/>
        <v>3</v>
      </c>
      <c r="C1006">
        <f t="shared" si="61"/>
        <v>10</v>
      </c>
      <c r="D1006">
        <f t="shared" si="62"/>
        <v>2019</v>
      </c>
      <c r="E1006" s="11">
        <v>3.1309999999999998</v>
      </c>
      <c r="F1006" s="11">
        <v>101.54900000000001</v>
      </c>
      <c r="G1006" s="11">
        <v>27.4</v>
      </c>
      <c r="H1006" s="1" t="s">
        <v>0</v>
      </c>
      <c r="I1006">
        <v>16.3</v>
      </c>
      <c r="J1006">
        <v>31.9</v>
      </c>
      <c r="K1006">
        <v>23.9</v>
      </c>
      <c r="L1006">
        <v>26.5</v>
      </c>
      <c r="M1006">
        <f t="shared" si="63"/>
        <v>1</v>
      </c>
    </row>
    <row r="1007" spans="1:13" x14ac:dyDescent="0.2">
      <c r="A1007" s="9">
        <v>43742</v>
      </c>
      <c r="B1007">
        <f t="shared" si="60"/>
        <v>4</v>
      </c>
      <c r="C1007">
        <f t="shared" si="61"/>
        <v>10</v>
      </c>
      <c r="D1007">
        <f t="shared" si="62"/>
        <v>2019</v>
      </c>
      <c r="E1007" s="11">
        <v>3.1309999999999998</v>
      </c>
      <c r="F1007" s="11">
        <v>101.54900000000001</v>
      </c>
      <c r="G1007" s="11">
        <v>27.4</v>
      </c>
      <c r="H1007" s="1" t="s">
        <v>0</v>
      </c>
      <c r="I1007">
        <v>10.4</v>
      </c>
      <c r="J1007">
        <v>33</v>
      </c>
      <c r="K1007">
        <v>23.7</v>
      </c>
      <c r="L1007">
        <v>27.8</v>
      </c>
      <c r="M1007">
        <f t="shared" si="63"/>
        <v>1</v>
      </c>
    </row>
    <row r="1008" spans="1:13" x14ac:dyDescent="0.2">
      <c r="A1008" s="9">
        <v>43743</v>
      </c>
      <c r="B1008">
        <f t="shared" si="60"/>
        <v>5</v>
      </c>
      <c r="C1008">
        <f t="shared" si="61"/>
        <v>10</v>
      </c>
      <c r="D1008">
        <f t="shared" si="62"/>
        <v>2019</v>
      </c>
      <c r="E1008" s="11">
        <v>3.1309999999999998</v>
      </c>
      <c r="F1008" s="11">
        <v>101.54900000000001</v>
      </c>
      <c r="G1008" s="11">
        <v>27.4</v>
      </c>
      <c r="H1008" s="1" t="s">
        <v>0</v>
      </c>
      <c r="I1008">
        <v>0</v>
      </c>
      <c r="J1008" t="s">
        <v>6</v>
      </c>
      <c r="K1008">
        <v>24</v>
      </c>
      <c r="L1008">
        <v>27.7</v>
      </c>
      <c r="M1008">
        <f t="shared" si="63"/>
        <v>0</v>
      </c>
    </row>
    <row r="1009" spans="1:13" x14ac:dyDescent="0.2">
      <c r="A1009" s="9">
        <v>43744</v>
      </c>
      <c r="B1009">
        <f t="shared" si="60"/>
        <v>6</v>
      </c>
      <c r="C1009">
        <f t="shared" si="61"/>
        <v>10</v>
      </c>
      <c r="D1009">
        <f t="shared" si="62"/>
        <v>2019</v>
      </c>
      <c r="E1009" s="11">
        <v>3.1309999999999998</v>
      </c>
      <c r="F1009" s="11">
        <v>101.54900000000001</v>
      </c>
      <c r="G1009" s="11">
        <v>27.4</v>
      </c>
      <c r="H1009" s="1" t="s">
        <v>0</v>
      </c>
      <c r="I1009">
        <v>27.7</v>
      </c>
      <c r="J1009">
        <v>33.299999999999997</v>
      </c>
      <c r="K1009">
        <v>24.5</v>
      </c>
      <c r="L1009">
        <v>27.6</v>
      </c>
      <c r="M1009">
        <f t="shared" si="63"/>
        <v>1</v>
      </c>
    </row>
    <row r="1010" spans="1:13" x14ac:dyDescent="0.2">
      <c r="A1010" s="9">
        <v>43745</v>
      </c>
      <c r="B1010">
        <f t="shared" si="60"/>
        <v>7</v>
      </c>
      <c r="C1010">
        <f t="shared" si="61"/>
        <v>10</v>
      </c>
      <c r="D1010">
        <f t="shared" si="62"/>
        <v>2019</v>
      </c>
      <c r="E1010" s="11">
        <v>3.1309999999999998</v>
      </c>
      <c r="F1010" s="11">
        <v>101.54900000000001</v>
      </c>
      <c r="G1010" s="11">
        <v>27.4</v>
      </c>
      <c r="H1010" s="1" t="s">
        <v>0</v>
      </c>
      <c r="I1010">
        <v>0</v>
      </c>
      <c r="J1010">
        <v>32.799999999999997</v>
      </c>
      <c r="K1010" t="s">
        <v>6</v>
      </c>
      <c r="L1010">
        <v>26.3</v>
      </c>
      <c r="M1010">
        <f t="shared" si="63"/>
        <v>0</v>
      </c>
    </row>
    <row r="1011" spans="1:13" x14ac:dyDescent="0.2">
      <c r="A1011" s="9">
        <v>43746</v>
      </c>
      <c r="B1011">
        <f t="shared" si="60"/>
        <v>8</v>
      </c>
      <c r="C1011">
        <f t="shared" si="61"/>
        <v>10</v>
      </c>
      <c r="D1011">
        <f t="shared" si="62"/>
        <v>2019</v>
      </c>
      <c r="E1011" s="11">
        <v>3.1309999999999998</v>
      </c>
      <c r="F1011" s="11">
        <v>101.54900000000001</v>
      </c>
      <c r="G1011" s="11">
        <v>27.4</v>
      </c>
      <c r="H1011" s="1" t="s">
        <v>0</v>
      </c>
      <c r="I1011">
        <v>4.8</v>
      </c>
      <c r="J1011" t="s">
        <v>6</v>
      </c>
      <c r="K1011" t="s">
        <v>6</v>
      </c>
      <c r="L1011">
        <v>26.2</v>
      </c>
      <c r="M1011">
        <f t="shared" si="63"/>
        <v>1</v>
      </c>
    </row>
    <row r="1012" spans="1:13" x14ac:dyDescent="0.2">
      <c r="A1012" s="9">
        <v>43747</v>
      </c>
      <c r="B1012">
        <f t="shared" si="60"/>
        <v>9</v>
      </c>
      <c r="C1012">
        <f t="shared" si="61"/>
        <v>10</v>
      </c>
      <c r="D1012">
        <f t="shared" si="62"/>
        <v>2019</v>
      </c>
      <c r="E1012" s="11">
        <v>3.1309999999999998</v>
      </c>
      <c r="F1012" s="11">
        <v>101.54900000000001</v>
      </c>
      <c r="G1012" s="11">
        <v>27.4</v>
      </c>
      <c r="H1012" s="1" t="s">
        <v>0</v>
      </c>
      <c r="I1012">
        <v>38.1</v>
      </c>
      <c r="J1012" t="s">
        <v>6</v>
      </c>
      <c r="K1012">
        <v>23.2</v>
      </c>
      <c r="L1012">
        <v>26.2</v>
      </c>
      <c r="M1012">
        <f t="shared" si="63"/>
        <v>1</v>
      </c>
    </row>
    <row r="1013" spans="1:13" x14ac:dyDescent="0.2">
      <c r="A1013" s="9">
        <v>43748</v>
      </c>
      <c r="B1013">
        <f t="shared" si="60"/>
        <v>10</v>
      </c>
      <c r="C1013">
        <f t="shared" si="61"/>
        <v>10</v>
      </c>
      <c r="D1013">
        <f t="shared" si="62"/>
        <v>2019</v>
      </c>
      <c r="E1013" s="11">
        <v>3.1309999999999998</v>
      </c>
      <c r="F1013" s="11">
        <v>101.54900000000001</v>
      </c>
      <c r="G1013" s="11">
        <v>27.4</v>
      </c>
      <c r="H1013" s="1" t="s">
        <v>0</v>
      </c>
      <c r="I1013">
        <v>66</v>
      </c>
      <c r="J1013" t="s">
        <v>6</v>
      </c>
      <c r="K1013">
        <v>23.4</v>
      </c>
      <c r="L1013">
        <v>27.4</v>
      </c>
      <c r="M1013">
        <f t="shared" si="63"/>
        <v>1</v>
      </c>
    </row>
    <row r="1014" spans="1:13" x14ac:dyDescent="0.2">
      <c r="A1014" s="9">
        <v>43749</v>
      </c>
      <c r="B1014">
        <f t="shared" si="60"/>
        <v>11</v>
      </c>
      <c r="C1014">
        <f t="shared" si="61"/>
        <v>10</v>
      </c>
      <c r="D1014">
        <f t="shared" si="62"/>
        <v>2019</v>
      </c>
      <c r="E1014" s="11">
        <v>3.1309999999999998</v>
      </c>
      <c r="F1014" s="11">
        <v>101.54900000000001</v>
      </c>
      <c r="G1014" s="11">
        <v>27.4</v>
      </c>
      <c r="H1014" s="1" t="s">
        <v>0</v>
      </c>
      <c r="I1014">
        <v>11.9</v>
      </c>
      <c r="J1014" t="s">
        <v>6</v>
      </c>
      <c r="K1014">
        <v>24</v>
      </c>
      <c r="L1014">
        <v>27.3</v>
      </c>
      <c r="M1014">
        <f t="shared" si="63"/>
        <v>1</v>
      </c>
    </row>
    <row r="1015" spans="1:13" x14ac:dyDescent="0.2">
      <c r="A1015" s="9">
        <v>43750</v>
      </c>
      <c r="B1015">
        <f t="shared" si="60"/>
        <v>12</v>
      </c>
      <c r="C1015">
        <f t="shared" si="61"/>
        <v>10</v>
      </c>
      <c r="D1015">
        <f t="shared" si="62"/>
        <v>2019</v>
      </c>
      <c r="E1015" s="11">
        <v>3.1309999999999998</v>
      </c>
      <c r="F1015" s="11">
        <v>101.54900000000001</v>
      </c>
      <c r="G1015" s="11">
        <v>27.4</v>
      </c>
      <c r="H1015" s="1" t="s">
        <v>0</v>
      </c>
      <c r="I1015">
        <v>30</v>
      </c>
      <c r="J1015" t="s">
        <v>6</v>
      </c>
      <c r="K1015">
        <v>24.2</v>
      </c>
      <c r="L1015">
        <v>27.4</v>
      </c>
      <c r="M1015">
        <f t="shared" si="63"/>
        <v>1</v>
      </c>
    </row>
    <row r="1016" spans="1:13" x14ac:dyDescent="0.2">
      <c r="A1016" s="9">
        <v>43751</v>
      </c>
      <c r="B1016">
        <f t="shared" si="60"/>
        <v>13</v>
      </c>
      <c r="C1016">
        <f t="shared" si="61"/>
        <v>10</v>
      </c>
      <c r="D1016">
        <f t="shared" si="62"/>
        <v>2019</v>
      </c>
      <c r="E1016" s="11">
        <v>3.1309999999999998</v>
      </c>
      <c r="F1016" s="11">
        <v>101.54900000000001</v>
      </c>
      <c r="G1016" s="11">
        <v>27.4</v>
      </c>
      <c r="H1016" s="1" t="s">
        <v>0</v>
      </c>
      <c r="I1016">
        <v>4.0999999999999996</v>
      </c>
      <c r="J1016" t="s">
        <v>6</v>
      </c>
      <c r="K1016">
        <v>24.8</v>
      </c>
      <c r="L1016">
        <v>26.9</v>
      </c>
      <c r="M1016">
        <f t="shared" si="63"/>
        <v>1</v>
      </c>
    </row>
    <row r="1017" spans="1:13" x14ac:dyDescent="0.2">
      <c r="A1017" s="9">
        <v>43752</v>
      </c>
      <c r="B1017">
        <f t="shared" si="60"/>
        <v>14</v>
      </c>
      <c r="C1017">
        <f t="shared" si="61"/>
        <v>10</v>
      </c>
      <c r="D1017">
        <f t="shared" si="62"/>
        <v>2019</v>
      </c>
      <c r="E1017" s="11">
        <v>3.1309999999999998</v>
      </c>
      <c r="F1017" s="11">
        <v>101.54900000000001</v>
      </c>
      <c r="G1017" s="11">
        <v>27.4</v>
      </c>
      <c r="H1017" s="1" t="s">
        <v>0</v>
      </c>
      <c r="I1017">
        <v>0.5</v>
      </c>
      <c r="J1017" t="s">
        <v>6</v>
      </c>
      <c r="K1017" t="s">
        <v>6</v>
      </c>
      <c r="L1017">
        <v>26.9</v>
      </c>
      <c r="M1017">
        <f t="shared" si="63"/>
        <v>1</v>
      </c>
    </row>
    <row r="1018" spans="1:13" x14ac:dyDescent="0.2">
      <c r="A1018" s="9">
        <v>43753</v>
      </c>
      <c r="B1018">
        <f t="shared" si="60"/>
        <v>15</v>
      </c>
      <c r="C1018">
        <f t="shared" si="61"/>
        <v>10</v>
      </c>
      <c r="D1018">
        <f t="shared" si="62"/>
        <v>2019</v>
      </c>
      <c r="E1018" s="11">
        <v>3.1309999999999998</v>
      </c>
      <c r="F1018" s="11">
        <v>101.54900000000001</v>
      </c>
      <c r="G1018" s="11">
        <v>27.4</v>
      </c>
      <c r="H1018" s="1" t="s">
        <v>0</v>
      </c>
      <c r="I1018">
        <v>37.1</v>
      </c>
      <c r="J1018" t="s">
        <v>6</v>
      </c>
      <c r="K1018">
        <v>22.9</v>
      </c>
      <c r="L1018">
        <v>27</v>
      </c>
      <c r="M1018">
        <f t="shared" si="63"/>
        <v>1</v>
      </c>
    </row>
    <row r="1019" spans="1:13" x14ac:dyDescent="0.2">
      <c r="A1019" s="9">
        <v>43754</v>
      </c>
      <c r="B1019">
        <f t="shared" si="60"/>
        <v>16</v>
      </c>
      <c r="C1019">
        <f t="shared" si="61"/>
        <v>10</v>
      </c>
      <c r="D1019">
        <f t="shared" si="62"/>
        <v>2019</v>
      </c>
      <c r="E1019" s="11">
        <v>3.1309999999999998</v>
      </c>
      <c r="F1019" s="11">
        <v>101.54900000000001</v>
      </c>
      <c r="G1019" s="11">
        <v>27.4</v>
      </c>
      <c r="H1019" s="1" t="s">
        <v>0</v>
      </c>
      <c r="I1019">
        <v>27.9</v>
      </c>
      <c r="J1019" t="s">
        <v>6</v>
      </c>
      <c r="K1019">
        <v>24</v>
      </c>
      <c r="L1019">
        <v>28.1</v>
      </c>
      <c r="M1019">
        <f t="shared" si="63"/>
        <v>1</v>
      </c>
    </row>
    <row r="1020" spans="1:13" x14ac:dyDescent="0.2">
      <c r="A1020" s="9">
        <v>43755</v>
      </c>
      <c r="B1020">
        <f t="shared" si="60"/>
        <v>17</v>
      </c>
      <c r="C1020">
        <f t="shared" si="61"/>
        <v>10</v>
      </c>
      <c r="D1020">
        <f t="shared" si="62"/>
        <v>2019</v>
      </c>
      <c r="E1020" s="11">
        <v>3.1309999999999998</v>
      </c>
      <c r="F1020" s="11">
        <v>101.54900000000001</v>
      </c>
      <c r="G1020" s="11">
        <v>27.4</v>
      </c>
      <c r="H1020" s="1" t="s">
        <v>0</v>
      </c>
      <c r="I1020">
        <v>5.0999999999999996</v>
      </c>
      <c r="J1020" t="s">
        <v>6</v>
      </c>
      <c r="K1020" t="s">
        <v>6</v>
      </c>
      <c r="L1020">
        <v>27.2</v>
      </c>
      <c r="M1020">
        <f t="shared" si="63"/>
        <v>1</v>
      </c>
    </row>
    <row r="1021" spans="1:13" x14ac:dyDescent="0.2">
      <c r="A1021" s="9">
        <v>43756</v>
      </c>
      <c r="B1021">
        <f t="shared" si="60"/>
        <v>18</v>
      </c>
      <c r="C1021">
        <f t="shared" si="61"/>
        <v>10</v>
      </c>
      <c r="D1021">
        <f t="shared" si="62"/>
        <v>2019</v>
      </c>
      <c r="E1021" s="11">
        <v>3.1309999999999998</v>
      </c>
      <c r="F1021" s="11">
        <v>101.54900000000001</v>
      </c>
      <c r="G1021" s="11">
        <v>27.4</v>
      </c>
      <c r="H1021" s="1" t="s">
        <v>0</v>
      </c>
      <c r="I1021">
        <v>82</v>
      </c>
      <c r="J1021" t="s">
        <v>6</v>
      </c>
      <c r="K1021">
        <v>24.5</v>
      </c>
      <c r="L1021">
        <v>27</v>
      </c>
      <c r="M1021">
        <f t="shared" si="63"/>
        <v>1</v>
      </c>
    </row>
    <row r="1022" spans="1:13" x14ac:dyDescent="0.2">
      <c r="A1022" s="9">
        <v>43757</v>
      </c>
      <c r="B1022">
        <f t="shared" si="60"/>
        <v>19</v>
      </c>
      <c r="C1022">
        <f t="shared" si="61"/>
        <v>10</v>
      </c>
      <c r="D1022">
        <f t="shared" si="62"/>
        <v>2019</v>
      </c>
      <c r="E1022" s="11">
        <v>3.1309999999999998</v>
      </c>
      <c r="F1022" s="11">
        <v>101.54900000000001</v>
      </c>
      <c r="G1022" s="11">
        <v>27.4</v>
      </c>
      <c r="H1022" s="1" t="s">
        <v>0</v>
      </c>
      <c r="I1022">
        <v>6.1</v>
      </c>
      <c r="J1022" t="s">
        <v>6</v>
      </c>
      <c r="K1022" t="s">
        <v>6</v>
      </c>
      <c r="L1022">
        <v>26.7</v>
      </c>
      <c r="M1022">
        <f t="shared" si="63"/>
        <v>1</v>
      </c>
    </row>
    <row r="1023" spans="1:13" x14ac:dyDescent="0.2">
      <c r="A1023" s="9">
        <v>43758</v>
      </c>
      <c r="B1023">
        <f t="shared" si="60"/>
        <v>20</v>
      </c>
      <c r="C1023">
        <f t="shared" si="61"/>
        <v>10</v>
      </c>
      <c r="D1023">
        <f t="shared" si="62"/>
        <v>2019</v>
      </c>
      <c r="E1023" s="11">
        <v>3.1309999999999998</v>
      </c>
      <c r="F1023" s="11">
        <v>101.54900000000001</v>
      </c>
      <c r="G1023" s="11">
        <v>27.4</v>
      </c>
      <c r="H1023" s="1" t="s">
        <v>0</v>
      </c>
      <c r="I1023">
        <v>43.9</v>
      </c>
      <c r="J1023" t="s">
        <v>6</v>
      </c>
      <c r="K1023">
        <v>23.9</v>
      </c>
      <c r="L1023">
        <v>28.2</v>
      </c>
      <c r="M1023">
        <f t="shared" si="63"/>
        <v>1</v>
      </c>
    </row>
    <row r="1024" spans="1:13" x14ac:dyDescent="0.2">
      <c r="A1024" s="9">
        <v>43759</v>
      </c>
      <c r="B1024">
        <f t="shared" si="60"/>
        <v>21</v>
      </c>
      <c r="C1024">
        <f t="shared" si="61"/>
        <v>10</v>
      </c>
      <c r="D1024">
        <f t="shared" si="62"/>
        <v>2019</v>
      </c>
      <c r="E1024" s="11">
        <v>3.1309999999999998</v>
      </c>
      <c r="F1024" s="11">
        <v>101.54900000000001</v>
      </c>
      <c r="G1024" s="11">
        <v>27.4</v>
      </c>
      <c r="H1024" s="1" t="s">
        <v>0</v>
      </c>
      <c r="I1024">
        <v>0</v>
      </c>
      <c r="J1024" t="s">
        <v>6</v>
      </c>
      <c r="K1024">
        <v>24.6</v>
      </c>
      <c r="L1024">
        <v>27.7</v>
      </c>
      <c r="M1024">
        <f t="shared" si="63"/>
        <v>0</v>
      </c>
    </row>
    <row r="1025" spans="1:13" x14ac:dyDescent="0.2">
      <c r="A1025" s="9">
        <v>43760</v>
      </c>
      <c r="B1025">
        <f t="shared" si="60"/>
        <v>22</v>
      </c>
      <c r="C1025">
        <f t="shared" si="61"/>
        <v>10</v>
      </c>
      <c r="D1025">
        <f t="shared" si="62"/>
        <v>2019</v>
      </c>
      <c r="E1025" s="11">
        <v>3.1309999999999998</v>
      </c>
      <c r="F1025" s="11">
        <v>101.54900000000001</v>
      </c>
      <c r="G1025" s="11">
        <v>27.4</v>
      </c>
      <c r="H1025" s="1" t="s">
        <v>0</v>
      </c>
      <c r="I1025">
        <v>10.9</v>
      </c>
      <c r="J1025" t="s">
        <v>6</v>
      </c>
      <c r="K1025" t="s">
        <v>6</v>
      </c>
      <c r="L1025">
        <v>26.9</v>
      </c>
      <c r="M1025">
        <f t="shared" si="63"/>
        <v>1</v>
      </c>
    </row>
    <row r="1026" spans="1:13" x14ac:dyDescent="0.2">
      <c r="A1026" s="9">
        <v>43761</v>
      </c>
      <c r="B1026">
        <f t="shared" si="60"/>
        <v>23</v>
      </c>
      <c r="C1026">
        <f t="shared" si="61"/>
        <v>10</v>
      </c>
      <c r="D1026">
        <f t="shared" si="62"/>
        <v>2019</v>
      </c>
      <c r="E1026" s="11">
        <v>3.1309999999999998</v>
      </c>
      <c r="F1026" s="11">
        <v>101.54900000000001</v>
      </c>
      <c r="G1026" s="11">
        <v>27.4</v>
      </c>
      <c r="H1026" s="1" t="s">
        <v>0</v>
      </c>
      <c r="I1026">
        <v>18</v>
      </c>
      <c r="J1026" t="s">
        <v>6</v>
      </c>
      <c r="K1026" t="s">
        <v>6</v>
      </c>
      <c r="L1026">
        <v>27.1</v>
      </c>
      <c r="M1026">
        <f t="shared" si="63"/>
        <v>1</v>
      </c>
    </row>
    <row r="1027" spans="1:13" x14ac:dyDescent="0.2">
      <c r="A1027" s="9">
        <v>43762</v>
      </c>
      <c r="B1027">
        <f t="shared" ref="B1027:B1090" si="64">DAY(A1027)</f>
        <v>24</v>
      </c>
      <c r="C1027">
        <f t="shared" ref="C1027:C1090" si="65">MONTH(A1027)</f>
        <v>10</v>
      </c>
      <c r="D1027">
        <f t="shared" ref="D1027:D1090" si="66">YEAR(A1027)</f>
        <v>2019</v>
      </c>
      <c r="E1027" s="11">
        <v>3.1309999999999998</v>
      </c>
      <c r="F1027" s="11">
        <v>101.54900000000001</v>
      </c>
      <c r="G1027" s="11">
        <v>27.4</v>
      </c>
      <c r="H1027" s="1" t="s">
        <v>0</v>
      </c>
      <c r="I1027">
        <v>47</v>
      </c>
      <c r="J1027" t="s">
        <v>6</v>
      </c>
      <c r="K1027" t="s">
        <v>6</v>
      </c>
      <c r="L1027">
        <v>26.7</v>
      </c>
      <c r="M1027">
        <f t="shared" ref="M1027:M1090" si="67">IF(ISNUMBER(I1027), IF(I1027&gt;0, 1, 0), "")</f>
        <v>1</v>
      </c>
    </row>
    <row r="1028" spans="1:13" x14ac:dyDescent="0.2">
      <c r="A1028" s="9">
        <v>43763</v>
      </c>
      <c r="B1028">
        <f t="shared" si="64"/>
        <v>25</v>
      </c>
      <c r="C1028">
        <f t="shared" si="65"/>
        <v>10</v>
      </c>
      <c r="D1028">
        <f t="shared" si="66"/>
        <v>2019</v>
      </c>
      <c r="E1028" s="11">
        <v>3.1309999999999998</v>
      </c>
      <c r="F1028" s="11">
        <v>101.54900000000001</v>
      </c>
      <c r="G1028" s="11">
        <v>27.4</v>
      </c>
      <c r="H1028" s="1" t="s">
        <v>0</v>
      </c>
      <c r="I1028">
        <v>43.9</v>
      </c>
      <c r="J1028" t="s">
        <v>6</v>
      </c>
      <c r="K1028">
        <v>23.4</v>
      </c>
      <c r="L1028">
        <v>27.4</v>
      </c>
      <c r="M1028">
        <f t="shared" si="67"/>
        <v>1</v>
      </c>
    </row>
    <row r="1029" spans="1:13" x14ac:dyDescent="0.2">
      <c r="A1029" s="9">
        <v>43764</v>
      </c>
      <c r="B1029">
        <f t="shared" si="64"/>
        <v>26</v>
      </c>
      <c r="C1029">
        <f t="shared" si="65"/>
        <v>10</v>
      </c>
      <c r="D1029">
        <f t="shared" si="66"/>
        <v>2019</v>
      </c>
      <c r="E1029" s="11">
        <v>3.1309999999999998</v>
      </c>
      <c r="F1029" s="11">
        <v>101.54900000000001</v>
      </c>
      <c r="G1029" s="11">
        <v>27.4</v>
      </c>
      <c r="H1029" s="1" t="s">
        <v>0</v>
      </c>
      <c r="I1029">
        <v>57.9</v>
      </c>
      <c r="J1029" t="s">
        <v>6</v>
      </c>
      <c r="K1029" t="s">
        <v>6</v>
      </c>
      <c r="L1029">
        <v>26.1</v>
      </c>
      <c r="M1029">
        <f t="shared" si="67"/>
        <v>1</v>
      </c>
    </row>
    <row r="1030" spans="1:13" x14ac:dyDescent="0.2">
      <c r="A1030" s="9">
        <v>43765</v>
      </c>
      <c r="B1030">
        <f t="shared" si="64"/>
        <v>27</v>
      </c>
      <c r="C1030">
        <f t="shared" si="65"/>
        <v>10</v>
      </c>
      <c r="D1030">
        <f t="shared" si="66"/>
        <v>2019</v>
      </c>
      <c r="E1030" s="11">
        <v>3.1309999999999998</v>
      </c>
      <c r="F1030" s="11">
        <v>101.54900000000001</v>
      </c>
      <c r="G1030" s="11">
        <v>27.4</v>
      </c>
      <c r="H1030" s="1" t="s">
        <v>0</v>
      </c>
      <c r="I1030">
        <v>23.1</v>
      </c>
      <c r="J1030" t="s">
        <v>6</v>
      </c>
      <c r="K1030">
        <v>23.9</v>
      </c>
      <c r="L1030">
        <v>26.8</v>
      </c>
      <c r="M1030">
        <f t="shared" si="67"/>
        <v>1</v>
      </c>
    </row>
    <row r="1031" spans="1:13" x14ac:dyDescent="0.2">
      <c r="A1031" s="9">
        <v>43766</v>
      </c>
      <c r="B1031">
        <f t="shared" si="64"/>
        <v>28</v>
      </c>
      <c r="C1031">
        <f t="shared" si="65"/>
        <v>10</v>
      </c>
      <c r="D1031">
        <f t="shared" si="66"/>
        <v>2019</v>
      </c>
      <c r="E1031" s="11">
        <v>3.1309999999999998</v>
      </c>
      <c r="F1031" s="11">
        <v>101.54900000000001</v>
      </c>
      <c r="G1031" s="11">
        <v>27.4</v>
      </c>
      <c r="H1031" s="1" t="s">
        <v>0</v>
      </c>
      <c r="I1031">
        <v>13</v>
      </c>
      <c r="J1031" t="s">
        <v>6</v>
      </c>
      <c r="K1031" t="s">
        <v>6</v>
      </c>
      <c r="L1031">
        <v>26.2</v>
      </c>
      <c r="M1031">
        <f t="shared" si="67"/>
        <v>1</v>
      </c>
    </row>
    <row r="1032" spans="1:13" x14ac:dyDescent="0.2">
      <c r="A1032" s="9">
        <v>43767</v>
      </c>
      <c r="B1032">
        <f t="shared" si="64"/>
        <v>29</v>
      </c>
      <c r="C1032">
        <f t="shared" si="65"/>
        <v>10</v>
      </c>
      <c r="D1032">
        <f t="shared" si="66"/>
        <v>2019</v>
      </c>
      <c r="E1032" s="11">
        <v>3.1309999999999998</v>
      </c>
      <c r="F1032" s="11">
        <v>101.54900000000001</v>
      </c>
      <c r="G1032" s="11">
        <v>27.4</v>
      </c>
      <c r="H1032" s="1" t="s">
        <v>0</v>
      </c>
      <c r="I1032">
        <v>2</v>
      </c>
      <c r="J1032" t="s">
        <v>6</v>
      </c>
      <c r="K1032">
        <v>24.1</v>
      </c>
      <c r="L1032">
        <v>27.6</v>
      </c>
      <c r="M1032">
        <f t="shared" si="67"/>
        <v>1</v>
      </c>
    </row>
    <row r="1033" spans="1:13" x14ac:dyDescent="0.2">
      <c r="A1033" s="9">
        <v>43768</v>
      </c>
      <c r="B1033">
        <f t="shared" si="64"/>
        <v>30</v>
      </c>
      <c r="C1033">
        <f t="shared" si="65"/>
        <v>10</v>
      </c>
      <c r="D1033">
        <f t="shared" si="66"/>
        <v>2019</v>
      </c>
      <c r="E1033" s="11">
        <v>3.1309999999999998</v>
      </c>
      <c r="F1033" s="11">
        <v>101.54900000000001</v>
      </c>
      <c r="G1033" s="11">
        <v>27.4</v>
      </c>
      <c r="H1033" s="1" t="s">
        <v>0</v>
      </c>
      <c r="I1033">
        <v>0.3</v>
      </c>
      <c r="J1033" t="s">
        <v>6</v>
      </c>
      <c r="K1033" t="s">
        <v>6</v>
      </c>
      <c r="L1033">
        <v>27.2</v>
      </c>
      <c r="M1033">
        <f t="shared" si="67"/>
        <v>1</v>
      </c>
    </row>
    <row r="1034" spans="1:13" x14ac:dyDescent="0.2">
      <c r="A1034" s="9">
        <v>43769</v>
      </c>
      <c r="B1034">
        <f t="shared" si="64"/>
        <v>31</v>
      </c>
      <c r="C1034">
        <f t="shared" si="65"/>
        <v>10</v>
      </c>
      <c r="D1034">
        <f t="shared" si="66"/>
        <v>2019</v>
      </c>
      <c r="E1034" s="11">
        <v>3.1309999999999998</v>
      </c>
      <c r="F1034" s="11">
        <v>101.54900000000001</v>
      </c>
      <c r="G1034" s="11">
        <v>27.4</v>
      </c>
      <c r="H1034" s="1" t="s">
        <v>0</v>
      </c>
      <c r="I1034">
        <v>0</v>
      </c>
      <c r="J1034" t="s">
        <v>6</v>
      </c>
      <c r="K1034" t="s">
        <v>6</v>
      </c>
      <c r="L1034">
        <v>28</v>
      </c>
      <c r="M1034">
        <f t="shared" si="67"/>
        <v>0</v>
      </c>
    </row>
    <row r="1035" spans="1:13" x14ac:dyDescent="0.2">
      <c r="A1035" s="9">
        <v>43770</v>
      </c>
      <c r="B1035">
        <f t="shared" si="64"/>
        <v>1</v>
      </c>
      <c r="C1035">
        <f t="shared" si="65"/>
        <v>11</v>
      </c>
      <c r="D1035">
        <f t="shared" si="66"/>
        <v>2019</v>
      </c>
      <c r="E1035" s="11">
        <v>3.1309999999999998</v>
      </c>
      <c r="F1035" s="11">
        <v>101.54900000000001</v>
      </c>
      <c r="G1035" s="11">
        <v>27.4</v>
      </c>
      <c r="H1035" s="1" t="s">
        <v>0</v>
      </c>
      <c r="I1035">
        <v>4.0999999999999996</v>
      </c>
      <c r="J1035" t="s">
        <v>6</v>
      </c>
      <c r="K1035" t="s">
        <v>6</v>
      </c>
      <c r="L1035">
        <v>28.8</v>
      </c>
      <c r="M1035">
        <f t="shared" si="67"/>
        <v>1</v>
      </c>
    </row>
    <row r="1036" spans="1:13" x14ac:dyDescent="0.2">
      <c r="A1036" s="9">
        <v>43771</v>
      </c>
      <c r="B1036">
        <f t="shared" si="64"/>
        <v>2</v>
      </c>
      <c r="C1036">
        <f t="shared" si="65"/>
        <v>11</v>
      </c>
      <c r="D1036">
        <f t="shared" si="66"/>
        <v>2019</v>
      </c>
      <c r="E1036" s="11">
        <v>3.1309999999999998</v>
      </c>
      <c r="F1036" s="11">
        <v>101.54900000000001</v>
      </c>
      <c r="G1036" s="11">
        <v>27.4</v>
      </c>
      <c r="H1036" s="1" t="s">
        <v>0</v>
      </c>
      <c r="I1036">
        <v>0</v>
      </c>
      <c r="J1036" t="s">
        <v>6</v>
      </c>
      <c r="K1036">
        <v>24.4</v>
      </c>
      <c r="L1036">
        <v>26.6</v>
      </c>
      <c r="M1036">
        <f t="shared" si="67"/>
        <v>0</v>
      </c>
    </row>
    <row r="1037" spans="1:13" x14ac:dyDescent="0.2">
      <c r="A1037" s="9">
        <v>43772</v>
      </c>
      <c r="B1037">
        <f t="shared" si="64"/>
        <v>3</v>
      </c>
      <c r="C1037">
        <f t="shared" si="65"/>
        <v>11</v>
      </c>
      <c r="D1037">
        <f t="shared" si="66"/>
        <v>2019</v>
      </c>
      <c r="E1037" s="11">
        <v>3.1309999999999998</v>
      </c>
      <c r="F1037" s="11">
        <v>101.54900000000001</v>
      </c>
      <c r="G1037" s="11">
        <v>27.4</v>
      </c>
      <c r="H1037" s="1" t="s">
        <v>0</v>
      </c>
      <c r="I1037">
        <v>5.0999999999999996</v>
      </c>
      <c r="J1037" t="s">
        <v>6</v>
      </c>
      <c r="K1037">
        <v>24.8</v>
      </c>
      <c r="L1037">
        <v>29.1</v>
      </c>
      <c r="M1037">
        <f t="shared" si="67"/>
        <v>1</v>
      </c>
    </row>
    <row r="1038" spans="1:13" x14ac:dyDescent="0.2">
      <c r="A1038" s="9">
        <v>43773</v>
      </c>
      <c r="B1038">
        <f t="shared" si="64"/>
        <v>4</v>
      </c>
      <c r="C1038">
        <f t="shared" si="65"/>
        <v>11</v>
      </c>
      <c r="D1038">
        <f t="shared" si="66"/>
        <v>2019</v>
      </c>
      <c r="E1038" s="11">
        <v>3.1309999999999998</v>
      </c>
      <c r="F1038" s="11">
        <v>101.54900000000001</v>
      </c>
      <c r="G1038" s="11">
        <v>27.4</v>
      </c>
      <c r="H1038" s="1" t="s">
        <v>0</v>
      </c>
      <c r="I1038">
        <v>0</v>
      </c>
      <c r="J1038" t="s">
        <v>6</v>
      </c>
      <c r="K1038" t="s">
        <v>6</v>
      </c>
      <c r="L1038">
        <v>27.9</v>
      </c>
      <c r="M1038">
        <f t="shared" si="67"/>
        <v>0</v>
      </c>
    </row>
    <row r="1039" spans="1:13" x14ac:dyDescent="0.2">
      <c r="A1039" s="9">
        <v>43774</v>
      </c>
      <c r="B1039">
        <f t="shared" si="64"/>
        <v>5</v>
      </c>
      <c r="C1039">
        <f t="shared" si="65"/>
        <v>11</v>
      </c>
      <c r="D1039">
        <f t="shared" si="66"/>
        <v>2019</v>
      </c>
      <c r="E1039" s="11">
        <v>3.1309999999999998</v>
      </c>
      <c r="F1039" s="11">
        <v>101.54900000000001</v>
      </c>
      <c r="G1039" s="11">
        <v>27.4</v>
      </c>
      <c r="H1039" s="1" t="s">
        <v>0</v>
      </c>
      <c r="I1039" t="s">
        <v>6</v>
      </c>
      <c r="J1039" t="s">
        <v>6</v>
      </c>
      <c r="K1039" t="s">
        <v>6</v>
      </c>
      <c r="L1039">
        <v>27.8</v>
      </c>
      <c r="M1039" t="str">
        <f t="shared" si="67"/>
        <v/>
      </c>
    </row>
    <row r="1040" spans="1:13" x14ac:dyDescent="0.2">
      <c r="A1040" s="9">
        <v>43775</v>
      </c>
      <c r="B1040">
        <f t="shared" si="64"/>
        <v>6</v>
      </c>
      <c r="C1040">
        <f t="shared" si="65"/>
        <v>11</v>
      </c>
      <c r="D1040">
        <f t="shared" si="66"/>
        <v>2019</v>
      </c>
      <c r="E1040" s="11">
        <v>3.1309999999999998</v>
      </c>
      <c r="F1040" s="11">
        <v>101.54900000000001</v>
      </c>
      <c r="G1040" s="11">
        <v>27.4</v>
      </c>
      <c r="H1040" s="1" t="s">
        <v>0</v>
      </c>
      <c r="I1040" t="s">
        <v>6</v>
      </c>
      <c r="J1040" t="s">
        <v>6</v>
      </c>
      <c r="K1040">
        <v>24.7</v>
      </c>
      <c r="L1040">
        <v>28.2</v>
      </c>
      <c r="M1040" t="str">
        <f t="shared" si="67"/>
        <v/>
      </c>
    </row>
    <row r="1041" spans="1:13" x14ac:dyDescent="0.2">
      <c r="A1041" s="9">
        <v>43776</v>
      </c>
      <c r="B1041">
        <f t="shared" si="64"/>
        <v>7</v>
      </c>
      <c r="C1041">
        <f t="shared" si="65"/>
        <v>11</v>
      </c>
      <c r="D1041">
        <f t="shared" si="66"/>
        <v>2019</v>
      </c>
      <c r="E1041" s="11">
        <v>3.1309999999999998</v>
      </c>
      <c r="F1041" s="11">
        <v>101.54900000000001</v>
      </c>
      <c r="G1041" s="11">
        <v>27.4</v>
      </c>
      <c r="H1041" s="1" t="s">
        <v>0</v>
      </c>
      <c r="I1041" t="s">
        <v>6</v>
      </c>
      <c r="J1041" t="s">
        <v>6</v>
      </c>
      <c r="K1041" t="s">
        <v>6</v>
      </c>
      <c r="L1041">
        <v>27.1</v>
      </c>
      <c r="M1041" t="str">
        <f t="shared" si="67"/>
        <v/>
      </c>
    </row>
    <row r="1042" spans="1:13" x14ac:dyDescent="0.2">
      <c r="A1042" s="9">
        <v>43777</v>
      </c>
      <c r="B1042">
        <f t="shared" si="64"/>
        <v>8</v>
      </c>
      <c r="C1042">
        <f t="shared" si="65"/>
        <v>11</v>
      </c>
      <c r="D1042">
        <f t="shared" si="66"/>
        <v>2019</v>
      </c>
      <c r="E1042" s="11">
        <v>3.1309999999999998</v>
      </c>
      <c r="F1042" s="11">
        <v>101.54900000000001</v>
      </c>
      <c r="G1042" s="11">
        <v>27.4</v>
      </c>
      <c r="H1042" s="1" t="s">
        <v>0</v>
      </c>
      <c r="I1042">
        <v>122.9</v>
      </c>
      <c r="J1042" t="s">
        <v>6</v>
      </c>
      <c r="K1042">
        <v>22.5</v>
      </c>
      <c r="L1042">
        <v>26</v>
      </c>
      <c r="M1042">
        <f t="shared" si="67"/>
        <v>1</v>
      </c>
    </row>
    <row r="1043" spans="1:13" x14ac:dyDescent="0.2">
      <c r="A1043" s="9">
        <v>43778</v>
      </c>
      <c r="B1043">
        <f t="shared" si="64"/>
        <v>9</v>
      </c>
      <c r="C1043">
        <f t="shared" si="65"/>
        <v>11</v>
      </c>
      <c r="D1043">
        <f t="shared" si="66"/>
        <v>2019</v>
      </c>
      <c r="E1043" s="11">
        <v>3.1309999999999998</v>
      </c>
      <c r="F1043" s="11">
        <v>101.54900000000001</v>
      </c>
      <c r="G1043" s="11">
        <v>27.4</v>
      </c>
      <c r="H1043" s="1" t="s">
        <v>0</v>
      </c>
      <c r="I1043">
        <v>14</v>
      </c>
      <c r="J1043" t="s">
        <v>6</v>
      </c>
      <c r="K1043">
        <v>22.8</v>
      </c>
      <c r="L1043">
        <v>28.4</v>
      </c>
      <c r="M1043">
        <f t="shared" si="67"/>
        <v>1</v>
      </c>
    </row>
    <row r="1044" spans="1:13" x14ac:dyDescent="0.2">
      <c r="A1044" s="9">
        <v>43779</v>
      </c>
      <c r="B1044">
        <f t="shared" si="64"/>
        <v>10</v>
      </c>
      <c r="C1044">
        <f t="shared" si="65"/>
        <v>11</v>
      </c>
      <c r="D1044">
        <f t="shared" si="66"/>
        <v>2019</v>
      </c>
      <c r="E1044" s="11">
        <v>3.1309999999999998</v>
      </c>
      <c r="F1044" s="11">
        <v>101.54900000000001</v>
      </c>
      <c r="G1044" s="11">
        <v>27.4</v>
      </c>
      <c r="H1044" s="1" t="s">
        <v>0</v>
      </c>
      <c r="I1044">
        <v>0.5</v>
      </c>
      <c r="J1044" t="s">
        <v>6</v>
      </c>
      <c r="K1044">
        <v>25</v>
      </c>
      <c r="L1044">
        <v>27.1</v>
      </c>
      <c r="M1044">
        <f t="shared" si="67"/>
        <v>1</v>
      </c>
    </row>
    <row r="1045" spans="1:13" x14ac:dyDescent="0.2">
      <c r="A1045" s="9">
        <v>43780</v>
      </c>
      <c r="B1045">
        <f t="shared" si="64"/>
        <v>11</v>
      </c>
      <c r="C1045">
        <f t="shared" si="65"/>
        <v>11</v>
      </c>
      <c r="D1045">
        <f t="shared" si="66"/>
        <v>2019</v>
      </c>
      <c r="E1045" s="11">
        <v>3.1309999999999998</v>
      </c>
      <c r="F1045" s="11">
        <v>101.54900000000001</v>
      </c>
      <c r="G1045" s="11">
        <v>27.4</v>
      </c>
      <c r="H1045" s="1" t="s">
        <v>0</v>
      </c>
      <c r="I1045">
        <v>0.5</v>
      </c>
      <c r="J1045" t="s">
        <v>6</v>
      </c>
      <c r="K1045" t="s">
        <v>6</v>
      </c>
      <c r="L1045">
        <v>26.8</v>
      </c>
      <c r="M1045">
        <f t="shared" si="67"/>
        <v>1</v>
      </c>
    </row>
    <row r="1046" spans="1:13" x14ac:dyDescent="0.2">
      <c r="A1046" s="9">
        <v>43781</v>
      </c>
      <c r="B1046">
        <f t="shared" si="64"/>
        <v>12</v>
      </c>
      <c r="C1046">
        <f t="shared" si="65"/>
        <v>11</v>
      </c>
      <c r="D1046">
        <f t="shared" si="66"/>
        <v>2019</v>
      </c>
      <c r="E1046" s="11">
        <v>3.1309999999999998</v>
      </c>
      <c r="F1046" s="11">
        <v>101.54900000000001</v>
      </c>
      <c r="G1046" s="11">
        <v>27.4</v>
      </c>
      <c r="H1046" s="1" t="s">
        <v>0</v>
      </c>
      <c r="I1046">
        <v>8.9</v>
      </c>
      <c r="J1046" t="s">
        <v>6</v>
      </c>
      <c r="K1046">
        <v>24.2</v>
      </c>
      <c r="L1046">
        <v>28.3</v>
      </c>
      <c r="M1046">
        <f t="shared" si="67"/>
        <v>1</v>
      </c>
    </row>
    <row r="1047" spans="1:13" x14ac:dyDescent="0.2">
      <c r="A1047" s="9">
        <v>43782</v>
      </c>
      <c r="B1047">
        <f t="shared" si="64"/>
        <v>13</v>
      </c>
      <c r="C1047">
        <f t="shared" si="65"/>
        <v>11</v>
      </c>
      <c r="D1047">
        <f t="shared" si="66"/>
        <v>2019</v>
      </c>
      <c r="E1047" s="11">
        <v>3.1309999999999998</v>
      </c>
      <c r="F1047" s="11">
        <v>101.54900000000001</v>
      </c>
      <c r="G1047" s="11">
        <v>27.4</v>
      </c>
      <c r="H1047" s="1" t="s">
        <v>0</v>
      </c>
      <c r="I1047">
        <v>0</v>
      </c>
      <c r="J1047" t="s">
        <v>6</v>
      </c>
      <c r="K1047">
        <v>25.1</v>
      </c>
      <c r="L1047">
        <v>28.6</v>
      </c>
      <c r="M1047">
        <f t="shared" si="67"/>
        <v>0</v>
      </c>
    </row>
    <row r="1048" spans="1:13" x14ac:dyDescent="0.2">
      <c r="A1048" s="9">
        <v>43783</v>
      </c>
      <c r="B1048">
        <f t="shared" si="64"/>
        <v>14</v>
      </c>
      <c r="C1048">
        <f t="shared" si="65"/>
        <v>11</v>
      </c>
      <c r="D1048">
        <f t="shared" si="66"/>
        <v>2019</v>
      </c>
      <c r="E1048" s="11">
        <v>3.1309999999999998</v>
      </c>
      <c r="F1048" s="11">
        <v>101.54900000000001</v>
      </c>
      <c r="G1048" s="11">
        <v>27.4</v>
      </c>
      <c r="H1048" s="1" t="s">
        <v>0</v>
      </c>
      <c r="I1048" t="s">
        <v>6</v>
      </c>
      <c r="J1048" t="s">
        <v>6</v>
      </c>
      <c r="K1048" t="s">
        <v>6</v>
      </c>
      <c r="L1048">
        <v>27.1</v>
      </c>
      <c r="M1048" t="str">
        <f t="shared" si="67"/>
        <v/>
      </c>
    </row>
    <row r="1049" spans="1:13" x14ac:dyDescent="0.2">
      <c r="A1049" s="9">
        <v>43784</v>
      </c>
      <c r="B1049">
        <f t="shared" si="64"/>
        <v>15</v>
      </c>
      <c r="C1049">
        <f t="shared" si="65"/>
        <v>11</v>
      </c>
      <c r="D1049">
        <f t="shared" si="66"/>
        <v>2019</v>
      </c>
      <c r="E1049" s="11">
        <v>3.1309999999999998</v>
      </c>
      <c r="F1049" s="11">
        <v>101.54900000000001</v>
      </c>
      <c r="G1049" s="11">
        <v>27.4</v>
      </c>
      <c r="H1049" s="1" t="s">
        <v>0</v>
      </c>
      <c r="I1049" t="s">
        <v>6</v>
      </c>
      <c r="J1049" t="s">
        <v>6</v>
      </c>
      <c r="K1049" t="s">
        <v>6</v>
      </c>
      <c r="L1049">
        <v>25.5</v>
      </c>
      <c r="M1049" t="str">
        <f t="shared" si="67"/>
        <v/>
      </c>
    </row>
    <row r="1050" spans="1:13" x14ac:dyDescent="0.2">
      <c r="A1050" s="9">
        <v>43785</v>
      </c>
      <c r="B1050">
        <f t="shared" si="64"/>
        <v>16</v>
      </c>
      <c r="C1050">
        <f t="shared" si="65"/>
        <v>11</v>
      </c>
      <c r="D1050">
        <f t="shared" si="66"/>
        <v>2019</v>
      </c>
      <c r="E1050" s="11">
        <v>3.1309999999999998</v>
      </c>
      <c r="F1050" s="11">
        <v>101.54900000000001</v>
      </c>
      <c r="G1050" s="11">
        <v>27.4</v>
      </c>
      <c r="H1050" s="1" t="s">
        <v>0</v>
      </c>
      <c r="I1050" t="s">
        <v>6</v>
      </c>
      <c r="J1050" t="s">
        <v>6</v>
      </c>
      <c r="K1050">
        <v>23.6</v>
      </c>
      <c r="L1050">
        <v>26.9</v>
      </c>
      <c r="M1050" t="str">
        <f t="shared" si="67"/>
        <v/>
      </c>
    </row>
    <row r="1051" spans="1:13" x14ac:dyDescent="0.2">
      <c r="A1051" s="9">
        <v>43786</v>
      </c>
      <c r="B1051">
        <f t="shared" si="64"/>
        <v>17</v>
      </c>
      <c r="C1051">
        <f t="shared" si="65"/>
        <v>11</v>
      </c>
      <c r="D1051">
        <f t="shared" si="66"/>
        <v>2019</v>
      </c>
      <c r="E1051" s="11">
        <v>3.1309999999999998</v>
      </c>
      <c r="F1051" s="11">
        <v>101.54900000000001</v>
      </c>
      <c r="G1051" s="11">
        <v>27.4</v>
      </c>
      <c r="H1051" s="1" t="s">
        <v>0</v>
      </c>
      <c r="I1051" t="s">
        <v>6</v>
      </c>
      <c r="J1051" t="s">
        <v>6</v>
      </c>
      <c r="K1051" t="s">
        <v>6</v>
      </c>
      <c r="L1051">
        <v>27.2</v>
      </c>
      <c r="M1051" t="str">
        <f t="shared" si="67"/>
        <v/>
      </c>
    </row>
    <row r="1052" spans="1:13" x14ac:dyDescent="0.2">
      <c r="A1052" s="9">
        <v>43787</v>
      </c>
      <c r="B1052">
        <f t="shared" si="64"/>
        <v>18</v>
      </c>
      <c r="C1052">
        <f t="shared" si="65"/>
        <v>11</v>
      </c>
      <c r="D1052">
        <f t="shared" si="66"/>
        <v>2019</v>
      </c>
      <c r="E1052" s="11">
        <v>3.1309999999999998</v>
      </c>
      <c r="F1052" s="11">
        <v>101.54900000000001</v>
      </c>
      <c r="G1052" s="11">
        <v>27.4</v>
      </c>
      <c r="H1052" s="1" t="s">
        <v>0</v>
      </c>
      <c r="I1052" t="s">
        <v>6</v>
      </c>
      <c r="J1052" t="s">
        <v>6</v>
      </c>
      <c r="K1052" t="s">
        <v>6</v>
      </c>
      <c r="L1052">
        <v>27.1</v>
      </c>
      <c r="M1052" t="str">
        <f t="shared" si="67"/>
        <v/>
      </c>
    </row>
    <row r="1053" spans="1:13" x14ac:dyDescent="0.2">
      <c r="A1053" s="9">
        <v>43788</v>
      </c>
      <c r="B1053">
        <f t="shared" si="64"/>
        <v>19</v>
      </c>
      <c r="C1053">
        <f t="shared" si="65"/>
        <v>11</v>
      </c>
      <c r="D1053">
        <f t="shared" si="66"/>
        <v>2019</v>
      </c>
      <c r="E1053" s="11">
        <v>3.1309999999999998</v>
      </c>
      <c r="F1053" s="11">
        <v>101.54900000000001</v>
      </c>
      <c r="G1053" s="11">
        <v>27.4</v>
      </c>
      <c r="H1053" s="1" t="s">
        <v>0</v>
      </c>
      <c r="I1053" t="s">
        <v>6</v>
      </c>
      <c r="J1053" t="s">
        <v>6</v>
      </c>
      <c r="K1053">
        <v>23.8</v>
      </c>
      <c r="L1053">
        <v>27.2</v>
      </c>
      <c r="M1053" t="str">
        <f t="shared" si="67"/>
        <v/>
      </c>
    </row>
    <row r="1054" spans="1:13" x14ac:dyDescent="0.2">
      <c r="A1054" s="9">
        <v>43789</v>
      </c>
      <c r="B1054">
        <f t="shared" si="64"/>
        <v>20</v>
      </c>
      <c r="C1054">
        <f t="shared" si="65"/>
        <v>11</v>
      </c>
      <c r="D1054">
        <f t="shared" si="66"/>
        <v>2019</v>
      </c>
      <c r="E1054" s="11">
        <v>3.1309999999999998</v>
      </c>
      <c r="F1054" s="11">
        <v>101.54900000000001</v>
      </c>
      <c r="G1054" s="11">
        <v>27.4</v>
      </c>
      <c r="H1054" s="1" t="s">
        <v>0</v>
      </c>
      <c r="I1054" t="s">
        <v>6</v>
      </c>
      <c r="J1054" t="s">
        <v>6</v>
      </c>
      <c r="K1054">
        <v>24.5</v>
      </c>
      <c r="L1054">
        <v>27.4</v>
      </c>
      <c r="M1054" t="str">
        <f t="shared" si="67"/>
        <v/>
      </c>
    </row>
    <row r="1055" spans="1:13" x14ac:dyDescent="0.2">
      <c r="A1055" s="9">
        <v>43790</v>
      </c>
      <c r="B1055">
        <f t="shared" si="64"/>
        <v>21</v>
      </c>
      <c r="C1055">
        <f t="shared" si="65"/>
        <v>11</v>
      </c>
      <c r="D1055">
        <f t="shared" si="66"/>
        <v>2019</v>
      </c>
      <c r="E1055" s="11">
        <v>3.1309999999999998</v>
      </c>
      <c r="F1055" s="11">
        <v>101.54900000000001</v>
      </c>
      <c r="G1055" s="11">
        <v>27.4</v>
      </c>
      <c r="H1055" s="1" t="s">
        <v>0</v>
      </c>
      <c r="I1055" t="s">
        <v>6</v>
      </c>
      <c r="J1055" t="s">
        <v>6</v>
      </c>
      <c r="K1055">
        <v>24.6</v>
      </c>
      <c r="L1055">
        <v>27.9</v>
      </c>
      <c r="M1055" t="str">
        <f t="shared" si="67"/>
        <v/>
      </c>
    </row>
    <row r="1056" spans="1:13" x14ac:dyDescent="0.2">
      <c r="A1056" s="9">
        <v>43791</v>
      </c>
      <c r="B1056">
        <f t="shared" si="64"/>
        <v>22</v>
      </c>
      <c r="C1056">
        <f t="shared" si="65"/>
        <v>11</v>
      </c>
      <c r="D1056">
        <f t="shared" si="66"/>
        <v>2019</v>
      </c>
      <c r="E1056" s="11">
        <v>3.1309999999999998</v>
      </c>
      <c r="F1056" s="11">
        <v>101.54900000000001</v>
      </c>
      <c r="G1056" s="11">
        <v>27.4</v>
      </c>
      <c r="H1056" s="1" t="s">
        <v>0</v>
      </c>
      <c r="I1056" t="s">
        <v>6</v>
      </c>
      <c r="J1056" t="s">
        <v>6</v>
      </c>
      <c r="K1056" t="s">
        <v>6</v>
      </c>
      <c r="L1056">
        <v>27.2</v>
      </c>
      <c r="M1056" t="str">
        <f t="shared" si="67"/>
        <v/>
      </c>
    </row>
    <row r="1057" spans="1:13" x14ac:dyDescent="0.2">
      <c r="A1057" s="9">
        <v>43792</v>
      </c>
      <c r="B1057">
        <f t="shared" si="64"/>
        <v>23</v>
      </c>
      <c r="C1057">
        <f t="shared" si="65"/>
        <v>11</v>
      </c>
      <c r="D1057">
        <f t="shared" si="66"/>
        <v>2019</v>
      </c>
      <c r="E1057" s="11">
        <v>3.1309999999999998</v>
      </c>
      <c r="F1057" s="11">
        <v>101.54900000000001</v>
      </c>
      <c r="G1057" s="11">
        <v>27.4</v>
      </c>
      <c r="H1057" s="1" t="s">
        <v>0</v>
      </c>
      <c r="I1057" t="s">
        <v>6</v>
      </c>
      <c r="J1057" t="s">
        <v>6</v>
      </c>
      <c r="K1057">
        <v>24.8</v>
      </c>
      <c r="L1057">
        <v>27.2</v>
      </c>
      <c r="M1057" t="str">
        <f t="shared" si="67"/>
        <v/>
      </c>
    </row>
    <row r="1058" spans="1:13" x14ac:dyDescent="0.2">
      <c r="A1058" s="9">
        <v>43793</v>
      </c>
      <c r="B1058">
        <f t="shared" si="64"/>
        <v>24</v>
      </c>
      <c r="C1058">
        <f t="shared" si="65"/>
        <v>11</v>
      </c>
      <c r="D1058">
        <f t="shared" si="66"/>
        <v>2019</v>
      </c>
      <c r="E1058" s="11">
        <v>3.1309999999999998</v>
      </c>
      <c r="F1058" s="11">
        <v>101.54900000000001</v>
      </c>
      <c r="G1058" s="11">
        <v>27.4</v>
      </c>
      <c r="H1058" s="1" t="s">
        <v>0</v>
      </c>
      <c r="I1058" t="s">
        <v>6</v>
      </c>
      <c r="J1058" t="s">
        <v>6</v>
      </c>
      <c r="K1058">
        <v>24.6</v>
      </c>
      <c r="L1058">
        <v>27.7</v>
      </c>
      <c r="M1058" t="str">
        <f t="shared" si="67"/>
        <v/>
      </c>
    </row>
    <row r="1059" spans="1:13" x14ac:dyDescent="0.2">
      <c r="A1059" s="9">
        <v>43794</v>
      </c>
      <c r="B1059">
        <f t="shared" si="64"/>
        <v>25</v>
      </c>
      <c r="C1059">
        <f t="shared" si="65"/>
        <v>11</v>
      </c>
      <c r="D1059">
        <f t="shared" si="66"/>
        <v>2019</v>
      </c>
      <c r="E1059" s="11">
        <v>3.1309999999999998</v>
      </c>
      <c r="F1059" s="11">
        <v>101.54900000000001</v>
      </c>
      <c r="G1059" s="11">
        <v>27.4</v>
      </c>
      <c r="H1059" s="1" t="s">
        <v>0</v>
      </c>
      <c r="I1059" t="s">
        <v>6</v>
      </c>
      <c r="J1059" t="s">
        <v>6</v>
      </c>
      <c r="K1059" t="s">
        <v>6</v>
      </c>
      <c r="L1059">
        <v>26.6</v>
      </c>
      <c r="M1059" t="str">
        <f t="shared" si="67"/>
        <v/>
      </c>
    </row>
    <row r="1060" spans="1:13" x14ac:dyDescent="0.2">
      <c r="A1060" s="9">
        <v>43795</v>
      </c>
      <c r="B1060">
        <f t="shared" si="64"/>
        <v>26</v>
      </c>
      <c r="C1060">
        <f t="shared" si="65"/>
        <v>11</v>
      </c>
      <c r="D1060">
        <f t="shared" si="66"/>
        <v>2019</v>
      </c>
      <c r="E1060" s="11">
        <v>3.1309999999999998</v>
      </c>
      <c r="F1060" s="11">
        <v>101.54900000000001</v>
      </c>
      <c r="G1060" s="11">
        <v>27.4</v>
      </c>
      <c r="H1060" s="1" t="s">
        <v>0</v>
      </c>
      <c r="I1060" t="s">
        <v>6</v>
      </c>
      <c r="J1060" t="s">
        <v>6</v>
      </c>
      <c r="K1060">
        <v>23.7</v>
      </c>
      <c r="L1060">
        <v>28</v>
      </c>
      <c r="M1060" t="str">
        <f t="shared" si="67"/>
        <v/>
      </c>
    </row>
    <row r="1061" spans="1:13" x14ac:dyDescent="0.2">
      <c r="A1061" s="9">
        <v>43796</v>
      </c>
      <c r="B1061">
        <f t="shared" si="64"/>
        <v>27</v>
      </c>
      <c r="C1061">
        <f t="shared" si="65"/>
        <v>11</v>
      </c>
      <c r="D1061">
        <f t="shared" si="66"/>
        <v>2019</v>
      </c>
      <c r="E1061" s="11">
        <v>3.1309999999999998</v>
      </c>
      <c r="F1061" s="11">
        <v>101.54900000000001</v>
      </c>
      <c r="G1061" s="11">
        <v>27.4</v>
      </c>
      <c r="H1061" s="1" t="s">
        <v>0</v>
      </c>
      <c r="I1061" t="s">
        <v>6</v>
      </c>
      <c r="J1061" t="s">
        <v>6</v>
      </c>
      <c r="K1061">
        <v>24.6</v>
      </c>
      <c r="L1061">
        <v>27.6</v>
      </c>
      <c r="M1061" t="str">
        <f t="shared" si="67"/>
        <v/>
      </c>
    </row>
    <row r="1062" spans="1:13" x14ac:dyDescent="0.2">
      <c r="A1062" s="9">
        <v>43797</v>
      </c>
      <c r="B1062">
        <f t="shared" si="64"/>
        <v>28</v>
      </c>
      <c r="C1062">
        <f t="shared" si="65"/>
        <v>11</v>
      </c>
      <c r="D1062">
        <f t="shared" si="66"/>
        <v>2019</v>
      </c>
      <c r="E1062" s="11">
        <v>3.1309999999999998</v>
      </c>
      <c r="F1062" s="11">
        <v>101.54900000000001</v>
      </c>
      <c r="G1062" s="11">
        <v>27.4</v>
      </c>
      <c r="H1062" s="1" t="s">
        <v>0</v>
      </c>
      <c r="I1062" t="s">
        <v>6</v>
      </c>
      <c r="J1062" t="s">
        <v>6</v>
      </c>
      <c r="K1062" t="s">
        <v>6</v>
      </c>
      <c r="L1062">
        <v>27.9</v>
      </c>
      <c r="M1062" t="str">
        <f t="shared" si="67"/>
        <v/>
      </c>
    </row>
    <row r="1063" spans="1:13" x14ac:dyDescent="0.2">
      <c r="A1063" s="9">
        <v>43798</v>
      </c>
      <c r="B1063">
        <f t="shared" si="64"/>
        <v>29</v>
      </c>
      <c r="C1063">
        <f t="shared" si="65"/>
        <v>11</v>
      </c>
      <c r="D1063">
        <f t="shared" si="66"/>
        <v>2019</v>
      </c>
      <c r="E1063" s="11">
        <v>3.1309999999999998</v>
      </c>
      <c r="F1063" s="11">
        <v>101.54900000000001</v>
      </c>
      <c r="G1063" s="11">
        <v>27.4</v>
      </c>
      <c r="H1063" s="1" t="s">
        <v>0</v>
      </c>
      <c r="I1063" t="s">
        <v>6</v>
      </c>
      <c r="J1063" t="s">
        <v>6</v>
      </c>
      <c r="K1063">
        <v>24.2</v>
      </c>
      <c r="L1063">
        <v>27.8</v>
      </c>
      <c r="M1063" t="str">
        <f t="shared" si="67"/>
        <v/>
      </c>
    </row>
    <row r="1064" spans="1:13" x14ac:dyDescent="0.2">
      <c r="A1064" s="9">
        <v>43799</v>
      </c>
      <c r="B1064">
        <f t="shared" si="64"/>
        <v>30</v>
      </c>
      <c r="C1064">
        <f t="shared" si="65"/>
        <v>11</v>
      </c>
      <c r="D1064">
        <f t="shared" si="66"/>
        <v>2019</v>
      </c>
      <c r="E1064" s="11">
        <v>3.1309999999999998</v>
      </c>
      <c r="F1064" s="11">
        <v>101.54900000000001</v>
      </c>
      <c r="G1064" s="11">
        <v>27.4</v>
      </c>
      <c r="H1064" s="1" t="s">
        <v>0</v>
      </c>
      <c r="I1064" t="s">
        <v>6</v>
      </c>
      <c r="J1064" t="s">
        <v>6</v>
      </c>
      <c r="K1064">
        <v>25.1</v>
      </c>
      <c r="L1064">
        <v>28.7</v>
      </c>
      <c r="M1064" t="str">
        <f t="shared" si="67"/>
        <v/>
      </c>
    </row>
    <row r="1065" spans="1:13" x14ac:dyDescent="0.2">
      <c r="A1065" s="9">
        <v>43800</v>
      </c>
      <c r="B1065">
        <f t="shared" si="64"/>
        <v>1</v>
      </c>
      <c r="C1065">
        <f t="shared" si="65"/>
        <v>12</v>
      </c>
      <c r="D1065">
        <f t="shared" si="66"/>
        <v>2019</v>
      </c>
      <c r="E1065" s="11">
        <v>3.1309999999999998</v>
      </c>
      <c r="F1065" s="11">
        <v>101.54900000000001</v>
      </c>
      <c r="G1065" s="11">
        <v>27.4</v>
      </c>
      <c r="H1065" s="1" t="s">
        <v>0</v>
      </c>
      <c r="I1065" t="s">
        <v>6</v>
      </c>
      <c r="J1065" t="s">
        <v>6</v>
      </c>
      <c r="K1065" t="s">
        <v>6</v>
      </c>
      <c r="L1065">
        <v>26.8</v>
      </c>
      <c r="M1065" t="str">
        <f t="shared" si="67"/>
        <v/>
      </c>
    </row>
    <row r="1066" spans="1:13" x14ac:dyDescent="0.2">
      <c r="A1066" s="9">
        <v>43801</v>
      </c>
      <c r="B1066">
        <f t="shared" si="64"/>
        <v>2</v>
      </c>
      <c r="C1066">
        <f t="shared" si="65"/>
        <v>12</v>
      </c>
      <c r="D1066">
        <f t="shared" si="66"/>
        <v>2019</v>
      </c>
      <c r="E1066" s="11">
        <v>3.1309999999999998</v>
      </c>
      <c r="F1066" s="11">
        <v>101.54900000000001</v>
      </c>
      <c r="G1066" s="11">
        <v>27.4</v>
      </c>
      <c r="H1066" s="1" t="s">
        <v>0</v>
      </c>
      <c r="I1066" t="s">
        <v>6</v>
      </c>
      <c r="J1066" t="s">
        <v>6</v>
      </c>
      <c r="K1066">
        <v>24.8</v>
      </c>
      <c r="L1066">
        <v>27.7</v>
      </c>
      <c r="M1066" t="str">
        <f t="shared" si="67"/>
        <v/>
      </c>
    </row>
    <row r="1067" spans="1:13" x14ac:dyDescent="0.2">
      <c r="A1067" s="9">
        <v>43802</v>
      </c>
      <c r="B1067">
        <f t="shared" si="64"/>
        <v>3</v>
      </c>
      <c r="C1067">
        <f t="shared" si="65"/>
        <v>12</v>
      </c>
      <c r="D1067">
        <f t="shared" si="66"/>
        <v>2019</v>
      </c>
      <c r="E1067" s="11">
        <v>3.1309999999999998</v>
      </c>
      <c r="F1067" s="11">
        <v>101.54900000000001</v>
      </c>
      <c r="G1067" s="11">
        <v>27.4</v>
      </c>
      <c r="H1067" s="1" t="s">
        <v>0</v>
      </c>
      <c r="I1067" t="s">
        <v>6</v>
      </c>
      <c r="J1067" t="s">
        <v>6</v>
      </c>
      <c r="K1067" t="s">
        <v>6</v>
      </c>
      <c r="L1067">
        <v>29.1</v>
      </c>
      <c r="M1067" t="str">
        <f t="shared" si="67"/>
        <v/>
      </c>
    </row>
    <row r="1068" spans="1:13" x14ac:dyDescent="0.2">
      <c r="A1068" s="9">
        <v>43803</v>
      </c>
      <c r="B1068">
        <f t="shared" si="64"/>
        <v>4</v>
      </c>
      <c r="C1068">
        <f t="shared" si="65"/>
        <v>12</v>
      </c>
      <c r="D1068">
        <f t="shared" si="66"/>
        <v>2019</v>
      </c>
      <c r="E1068" s="11">
        <v>3.1309999999999998</v>
      </c>
      <c r="F1068" s="11">
        <v>101.54900000000001</v>
      </c>
      <c r="G1068" s="11">
        <v>27.4</v>
      </c>
      <c r="H1068" s="1" t="s">
        <v>0</v>
      </c>
      <c r="I1068" t="s">
        <v>6</v>
      </c>
      <c r="J1068" t="s">
        <v>6</v>
      </c>
      <c r="K1068" t="s">
        <v>6</v>
      </c>
      <c r="L1068">
        <v>28.2</v>
      </c>
      <c r="M1068" t="str">
        <f t="shared" si="67"/>
        <v/>
      </c>
    </row>
    <row r="1069" spans="1:13" x14ac:dyDescent="0.2">
      <c r="A1069" s="9">
        <v>43804</v>
      </c>
      <c r="B1069">
        <f t="shared" si="64"/>
        <v>5</v>
      </c>
      <c r="C1069">
        <f t="shared" si="65"/>
        <v>12</v>
      </c>
      <c r="D1069">
        <f t="shared" si="66"/>
        <v>2019</v>
      </c>
      <c r="E1069" s="11">
        <v>3.1309999999999998</v>
      </c>
      <c r="F1069" s="11">
        <v>101.54900000000001</v>
      </c>
      <c r="G1069" s="11">
        <v>27.4</v>
      </c>
      <c r="H1069" s="1" t="s">
        <v>0</v>
      </c>
      <c r="I1069" t="s">
        <v>6</v>
      </c>
      <c r="J1069" t="s">
        <v>6</v>
      </c>
      <c r="K1069">
        <v>24.2</v>
      </c>
      <c r="L1069">
        <v>27.7</v>
      </c>
      <c r="M1069" t="str">
        <f t="shared" si="67"/>
        <v/>
      </c>
    </row>
    <row r="1070" spans="1:13" x14ac:dyDescent="0.2">
      <c r="A1070" s="9">
        <v>43805</v>
      </c>
      <c r="B1070">
        <f t="shared" si="64"/>
        <v>6</v>
      </c>
      <c r="C1070">
        <f t="shared" si="65"/>
        <v>12</v>
      </c>
      <c r="D1070">
        <f t="shared" si="66"/>
        <v>2019</v>
      </c>
      <c r="E1070" s="11">
        <v>3.1309999999999998</v>
      </c>
      <c r="F1070" s="11">
        <v>101.54900000000001</v>
      </c>
      <c r="G1070" s="11">
        <v>27.4</v>
      </c>
      <c r="H1070" s="1" t="s">
        <v>0</v>
      </c>
      <c r="I1070" t="s">
        <v>6</v>
      </c>
      <c r="J1070" t="s">
        <v>6</v>
      </c>
      <c r="K1070" t="s">
        <v>6</v>
      </c>
      <c r="L1070">
        <v>27.5</v>
      </c>
      <c r="M1070" t="str">
        <f t="shared" si="67"/>
        <v/>
      </c>
    </row>
    <row r="1071" spans="1:13" x14ac:dyDescent="0.2">
      <c r="A1071" s="9">
        <v>43806</v>
      </c>
      <c r="B1071">
        <f t="shared" si="64"/>
        <v>7</v>
      </c>
      <c r="C1071">
        <f t="shared" si="65"/>
        <v>12</v>
      </c>
      <c r="D1071">
        <f t="shared" si="66"/>
        <v>2019</v>
      </c>
      <c r="E1071" s="11">
        <v>3.1309999999999998</v>
      </c>
      <c r="F1071" s="11">
        <v>101.54900000000001</v>
      </c>
      <c r="G1071" s="11">
        <v>27.4</v>
      </c>
      <c r="H1071" s="1" t="s">
        <v>0</v>
      </c>
      <c r="I1071" t="s">
        <v>6</v>
      </c>
      <c r="J1071" t="s">
        <v>6</v>
      </c>
      <c r="K1071">
        <v>23.9</v>
      </c>
      <c r="L1071">
        <v>27.6</v>
      </c>
      <c r="M1071" t="str">
        <f t="shared" si="67"/>
        <v/>
      </c>
    </row>
    <row r="1072" spans="1:13" x14ac:dyDescent="0.2">
      <c r="A1072" s="9">
        <v>43807</v>
      </c>
      <c r="B1072">
        <f t="shared" si="64"/>
        <v>8</v>
      </c>
      <c r="C1072">
        <f t="shared" si="65"/>
        <v>12</v>
      </c>
      <c r="D1072">
        <f t="shared" si="66"/>
        <v>2019</v>
      </c>
      <c r="E1072" s="11">
        <v>3.1309999999999998</v>
      </c>
      <c r="F1072" s="11">
        <v>101.54900000000001</v>
      </c>
      <c r="G1072" s="11">
        <v>27.4</v>
      </c>
      <c r="H1072" s="1" t="s">
        <v>0</v>
      </c>
      <c r="I1072" t="s">
        <v>6</v>
      </c>
      <c r="J1072" t="s">
        <v>6</v>
      </c>
      <c r="K1072" t="s">
        <v>6</v>
      </c>
      <c r="L1072">
        <v>26.9</v>
      </c>
      <c r="M1072" t="str">
        <f t="shared" si="67"/>
        <v/>
      </c>
    </row>
    <row r="1073" spans="1:13" x14ac:dyDescent="0.2">
      <c r="A1073" s="9">
        <v>43808</v>
      </c>
      <c r="B1073">
        <f t="shared" si="64"/>
        <v>9</v>
      </c>
      <c r="C1073">
        <f t="shared" si="65"/>
        <v>12</v>
      </c>
      <c r="D1073">
        <f t="shared" si="66"/>
        <v>2019</v>
      </c>
      <c r="E1073" s="11">
        <v>3.1309999999999998</v>
      </c>
      <c r="F1073" s="11">
        <v>101.54900000000001</v>
      </c>
      <c r="G1073" s="11">
        <v>27.4</v>
      </c>
      <c r="H1073" s="1" t="s">
        <v>0</v>
      </c>
      <c r="I1073" t="s">
        <v>6</v>
      </c>
      <c r="J1073" t="s">
        <v>6</v>
      </c>
      <c r="K1073">
        <v>24</v>
      </c>
      <c r="L1073">
        <v>28</v>
      </c>
      <c r="M1073" t="str">
        <f t="shared" si="67"/>
        <v/>
      </c>
    </row>
    <row r="1074" spans="1:13" x14ac:dyDescent="0.2">
      <c r="A1074" s="9">
        <v>43809</v>
      </c>
      <c r="B1074">
        <f t="shared" si="64"/>
        <v>10</v>
      </c>
      <c r="C1074">
        <f t="shared" si="65"/>
        <v>12</v>
      </c>
      <c r="D1074">
        <f t="shared" si="66"/>
        <v>2019</v>
      </c>
      <c r="E1074" s="11">
        <v>3.1309999999999998</v>
      </c>
      <c r="F1074" s="11">
        <v>101.54900000000001</v>
      </c>
      <c r="G1074" s="11">
        <v>27.4</v>
      </c>
      <c r="H1074" s="1" t="s">
        <v>0</v>
      </c>
      <c r="I1074" t="s">
        <v>6</v>
      </c>
      <c r="J1074" t="s">
        <v>6</v>
      </c>
      <c r="K1074">
        <v>24.6</v>
      </c>
      <c r="L1074">
        <v>27.1</v>
      </c>
      <c r="M1074" t="str">
        <f t="shared" si="67"/>
        <v/>
      </c>
    </row>
    <row r="1075" spans="1:13" x14ac:dyDescent="0.2">
      <c r="A1075" s="9">
        <v>43810</v>
      </c>
      <c r="B1075">
        <f t="shared" si="64"/>
        <v>11</v>
      </c>
      <c r="C1075">
        <f t="shared" si="65"/>
        <v>12</v>
      </c>
      <c r="D1075">
        <f t="shared" si="66"/>
        <v>2019</v>
      </c>
      <c r="E1075" s="11">
        <v>3.1309999999999998</v>
      </c>
      <c r="F1075" s="11">
        <v>101.54900000000001</v>
      </c>
      <c r="G1075" s="11">
        <v>27.4</v>
      </c>
      <c r="H1075" s="1" t="s">
        <v>0</v>
      </c>
      <c r="I1075" t="s">
        <v>6</v>
      </c>
      <c r="J1075" t="s">
        <v>6</v>
      </c>
      <c r="K1075" t="s">
        <v>6</v>
      </c>
      <c r="L1075">
        <v>26.6</v>
      </c>
      <c r="M1075" t="str">
        <f t="shared" si="67"/>
        <v/>
      </c>
    </row>
    <row r="1076" spans="1:13" x14ac:dyDescent="0.2">
      <c r="A1076" s="9">
        <v>43811</v>
      </c>
      <c r="B1076">
        <f t="shared" si="64"/>
        <v>12</v>
      </c>
      <c r="C1076">
        <f t="shared" si="65"/>
        <v>12</v>
      </c>
      <c r="D1076">
        <f t="shared" si="66"/>
        <v>2019</v>
      </c>
      <c r="E1076" s="11">
        <v>3.1309999999999998</v>
      </c>
      <c r="F1076" s="11">
        <v>101.54900000000001</v>
      </c>
      <c r="G1076" s="11">
        <v>27.4</v>
      </c>
      <c r="H1076" s="1" t="s">
        <v>0</v>
      </c>
      <c r="I1076" t="s">
        <v>6</v>
      </c>
      <c r="J1076" t="s">
        <v>6</v>
      </c>
      <c r="K1076" t="s">
        <v>6</v>
      </c>
      <c r="L1076">
        <v>27.6</v>
      </c>
      <c r="M1076" t="str">
        <f t="shared" si="67"/>
        <v/>
      </c>
    </row>
    <row r="1077" spans="1:13" x14ac:dyDescent="0.2">
      <c r="A1077" s="9">
        <v>43812</v>
      </c>
      <c r="B1077">
        <f t="shared" si="64"/>
        <v>13</v>
      </c>
      <c r="C1077">
        <f t="shared" si="65"/>
        <v>12</v>
      </c>
      <c r="D1077">
        <f t="shared" si="66"/>
        <v>2019</v>
      </c>
      <c r="E1077" s="11">
        <v>3.1309999999999998</v>
      </c>
      <c r="F1077" s="11">
        <v>101.54900000000001</v>
      </c>
      <c r="G1077" s="11">
        <v>27.4</v>
      </c>
      <c r="H1077" s="1" t="s">
        <v>0</v>
      </c>
      <c r="I1077" t="s">
        <v>6</v>
      </c>
      <c r="J1077" t="s">
        <v>6</v>
      </c>
      <c r="K1077">
        <v>23.3</v>
      </c>
      <c r="L1077">
        <v>28.3</v>
      </c>
      <c r="M1077" t="str">
        <f t="shared" si="67"/>
        <v/>
      </c>
    </row>
    <row r="1078" spans="1:13" x14ac:dyDescent="0.2">
      <c r="A1078" s="9">
        <v>43813</v>
      </c>
      <c r="B1078">
        <f t="shared" si="64"/>
        <v>14</v>
      </c>
      <c r="C1078">
        <f t="shared" si="65"/>
        <v>12</v>
      </c>
      <c r="D1078">
        <f t="shared" si="66"/>
        <v>2019</v>
      </c>
      <c r="E1078" s="11">
        <v>3.1309999999999998</v>
      </c>
      <c r="F1078" s="11">
        <v>101.54900000000001</v>
      </c>
      <c r="G1078" s="11">
        <v>27.4</v>
      </c>
      <c r="H1078" s="1" t="s">
        <v>0</v>
      </c>
      <c r="I1078" t="s">
        <v>6</v>
      </c>
      <c r="J1078" t="s">
        <v>6</v>
      </c>
      <c r="K1078">
        <v>23.9</v>
      </c>
      <c r="L1078">
        <v>24.8</v>
      </c>
      <c r="M1078" t="str">
        <f t="shared" si="67"/>
        <v/>
      </c>
    </row>
    <row r="1079" spans="1:13" x14ac:dyDescent="0.2">
      <c r="A1079" s="9">
        <v>43814</v>
      </c>
      <c r="B1079">
        <f t="shared" si="64"/>
        <v>15</v>
      </c>
      <c r="C1079">
        <f t="shared" si="65"/>
        <v>12</v>
      </c>
      <c r="D1079">
        <f t="shared" si="66"/>
        <v>2019</v>
      </c>
      <c r="E1079" s="11">
        <v>3.1309999999999998</v>
      </c>
      <c r="F1079" s="11">
        <v>101.54900000000001</v>
      </c>
      <c r="G1079" s="11">
        <v>27.4</v>
      </c>
      <c r="H1079" s="1" t="s">
        <v>0</v>
      </c>
      <c r="I1079" t="s">
        <v>6</v>
      </c>
      <c r="J1079" t="s">
        <v>6</v>
      </c>
      <c r="K1079" t="s">
        <v>6</v>
      </c>
      <c r="L1079">
        <v>24.8</v>
      </c>
      <c r="M1079" t="str">
        <f t="shared" si="67"/>
        <v/>
      </c>
    </row>
    <row r="1080" spans="1:13" x14ac:dyDescent="0.2">
      <c r="A1080" s="9">
        <v>43815</v>
      </c>
      <c r="B1080">
        <f t="shared" si="64"/>
        <v>16</v>
      </c>
      <c r="C1080">
        <f t="shared" si="65"/>
        <v>12</v>
      </c>
      <c r="D1080">
        <f t="shared" si="66"/>
        <v>2019</v>
      </c>
      <c r="E1080" s="11">
        <v>3.1309999999999998</v>
      </c>
      <c r="F1080" s="11">
        <v>101.54900000000001</v>
      </c>
      <c r="G1080" s="11">
        <v>27.4</v>
      </c>
      <c r="H1080" s="1" t="s">
        <v>0</v>
      </c>
      <c r="I1080" t="s">
        <v>6</v>
      </c>
      <c r="J1080" t="s">
        <v>6</v>
      </c>
      <c r="K1080">
        <v>23.3</v>
      </c>
      <c r="L1080">
        <v>26.1</v>
      </c>
      <c r="M1080" t="str">
        <f t="shared" si="67"/>
        <v/>
      </c>
    </row>
    <row r="1081" spans="1:13" x14ac:dyDescent="0.2">
      <c r="A1081" s="9">
        <v>43816</v>
      </c>
      <c r="B1081">
        <f t="shared" si="64"/>
        <v>17</v>
      </c>
      <c r="C1081">
        <f t="shared" si="65"/>
        <v>12</v>
      </c>
      <c r="D1081">
        <f t="shared" si="66"/>
        <v>2019</v>
      </c>
      <c r="E1081" s="11">
        <v>3.1309999999999998</v>
      </c>
      <c r="F1081" s="11">
        <v>101.54900000000001</v>
      </c>
      <c r="G1081" s="11">
        <v>27.4</v>
      </c>
      <c r="H1081" s="1" t="s">
        <v>0</v>
      </c>
      <c r="I1081" t="s">
        <v>6</v>
      </c>
      <c r="J1081" t="s">
        <v>6</v>
      </c>
      <c r="K1081">
        <v>23.8</v>
      </c>
      <c r="L1081">
        <v>26.8</v>
      </c>
      <c r="M1081" t="str">
        <f t="shared" si="67"/>
        <v/>
      </c>
    </row>
    <row r="1082" spans="1:13" x14ac:dyDescent="0.2">
      <c r="A1082" s="9">
        <v>43817</v>
      </c>
      <c r="B1082">
        <f t="shared" si="64"/>
        <v>18</v>
      </c>
      <c r="C1082">
        <f t="shared" si="65"/>
        <v>12</v>
      </c>
      <c r="D1082">
        <f t="shared" si="66"/>
        <v>2019</v>
      </c>
      <c r="E1082" s="11">
        <v>3.1309999999999998</v>
      </c>
      <c r="F1082" s="11">
        <v>101.54900000000001</v>
      </c>
      <c r="G1082" s="11">
        <v>27.4</v>
      </c>
      <c r="H1082" s="1" t="s">
        <v>0</v>
      </c>
      <c r="I1082" t="s">
        <v>6</v>
      </c>
      <c r="J1082" t="s">
        <v>6</v>
      </c>
      <c r="K1082">
        <v>24.4</v>
      </c>
      <c r="L1082">
        <v>26.6</v>
      </c>
      <c r="M1082" t="str">
        <f t="shared" si="67"/>
        <v/>
      </c>
    </row>
    <row r="1083" spans="1:13" x14ac:dyDescent="0.2">
      <c r="A1083" s="9">
        <v>43818</v>
      </c>
      <c r="B1083">
        <f t="shared" si="64"/>
        <v>19</v>
      </c>
      <c r="C1083">
        <f t="shared" si="65"/>
        <v>12</v>
      </c>
      <c r="D1083">
        <f t="shared" si="66"/>
        <v>2019</v>
      </c>
      <c r="E1083" s="11">
        <v>3.1309999999999998</v>
      </c>
      <c r="F1083" s="11">
        <v>101.54900000000001</v>
      </c>
      <c r="G1083" s="11">
        <v>27.4</v>
      </c>
      <c r="H1083" s="1" t="s">
        <v>0</v>
      </c>
      <c r="I1083" t="s">
        <v>6</v>
      </c>
      <c r="J1083" t="s">
        <v>6</v>
      </c>
      <c r="K1083" t="s">
        <v>6</v>
      </c>
      <c r="L1083">
        <v>27</v>
      </c>
      <c r="M1083" t="str">
        <f t="shared" si="67"/>
        <v/>
      </c>
    </row>
    <row r="1084" spans="1:13" x14ac:dyDescent="0.2">
      <c r="A1084" s="9">
        <v>43819</v>
      </c>
      <c r="B1084">
        <f t="shared" si="64"/>
        <v>20</v>
      </c>
      <c r="C1084">
        <f t="shared" si="65"/>
        <v>12</v>
      </c>
      <c r="D1084">
        <f t="shared" si="66"/>
        <v>2019</v>
      </c>
      <c r="E1084" s="11">
        <v>3.1309999999999998</v>
      </c>
      <c r="F1084" s="11">
        <v>101.54900000000001</v>
      </c>
      <c r="G1084" s="11">
        <v>27.4</v>
      </c>
      <c r="H1084" s="1" t="s">
        <v>0</v>
      </c>
      <c r="I1084" t="s">
        <v>6</v>
      </c>
      <c r="J1084" t="s">
        <v>6</v>
      </c>
      <c r="K1084" t="s">
        <v>6</v>
      </c>
      <c r="L1084">
        <v>28.1</v>
      </c>
      <c r="M1084" t="str">
        <f t="shared" si="67"/>
        <v/>
      </c>
    </row>
    <row r="1085" spans="1:13" x14ac:dyDescent="0.2">
      <c r="A1085" s="9">
        <v>43820</v>
      </c>
      <c r="B1085">
        <f t="shared" si="64"/>
        <v>21</v>
      </c>
      <c r="C1085">
        <f t="shared" si="65"/>
        <v>12</v>
      </c>
      <c r="D1085">
        <f t="shared" si="66"/>
        <v>2019</v>
      </c>
      <c r="E1085" s="11">
        <v>3.1309999999999998</v>
      </c>
      <c r="F1085" s="11">
        <v>101.54900000000001</v>
      </c>
      <c r="G1085" s="11">
        <v>27.4</v>
      </c>
      <c r="H1085" s="1" t="s">
        <v>0</v>
      </c>
      <c r="I1085" t="s">
        <v>6</v>
      </c>
      <c r="J1085" t="s">
        <v>6</v>
      </c>
      <c r="K1085">
        <v>24.1</v>
      </c>
      <c r="L1085">
        <v>28.5</v>
      </c>
      <c r="M1085" t="str">
        <f t="shared" si="67"/>
        <v/>
      </c>
    </row>
    <row r="1086" spans="1:13" x14ac:dyDescent="0.2">
      <c r="A1086" s="9">
        <v>43821</v>
      </c>
      <c r="B1086">
        <f t="shared" si="64"/>
        <v>22</v>
      </c>
      <c r="C1086">
        <f t="shared" si="65"/>
        <v>12</v>
      </c>
      <c r="D1086">
        <f t="shared" si="66"/>
        <v>2019</v>
      </c>
      <c r="E1086" s="11">
        <v>3.1309999999999998</v>
      </c>
      <c r="F1086" s="11">
        <v>101.54900000000001</v>
      </c>
      <c r="G1086" s="11">
        <v>27.4</v>
      </c>
      <c r="H1086" s="1" t="s">
        <v>0</v>
      </c>
      <c r="I1086">
        <v>0.3</v>
      </c>
      <c r="J1086" t="s">
        <v>6</v>
      </c>
      <c r="K1086">
        <v>24.9</v>
      </c>
      <c r="L1086">
        <v>27.5</v>
      </c>
      <c r="M1086">
        <f t="shared" si="67"/>
        <v>1</v>
      </c>
    </row>
    <row r="1087" spans="1:13" x14ac:dyDescent="0.2">
      <c r="A1087" s="9">
        <v>43822</v>
      </c>
      <c r="B1087">
        <f t="shared" si="64"/>
        <v>23</v>
      </c>
      <c r="C1087">
        <f t="shared" si="65"/>
        <v>12</v>
      </c>
      <c r="D1087">
        <f t="shared" si="66"/>
        <v>2019</v>
      </c>
      <c r="E1087" s="11">
        <v>3.1309999999999998</v>
      </c>
      <c r="F1087" s="11">
        <v>101.54900000000001</v>
      </c>
      <c r="G1087" s="11">
        <v>27.4</v>
      </c>
      <c r="H1087" s="1" t="s">
        <v>0</v>
      </c>
      <c r="I1087">
        <v>3</v>
      </c>
      <c r="J1087" t="s">
        <v>6</v>
      </c>
      <c r="K1087">
        <v>24.5</v>
      </c>
      <c r="L1087">
        <v>27.8</v>
      </c>
      <c r="M1087">
        <f t="shared" si="67"/>
        <v>1</v>
      </c>
    </row>
    <row r="1088" spans="1:13" x14ac:dyDescent="0.2">
      <c r="A1088" s="9">
        <v>43823</v>
      </c>
      <c r="B1088">
        <f t="shared" si="64"/>
        <v>24</v>
      </c>
      <c r="C1088">
        <f t="shared" si="65"/>
        <v>12</v>
      </c>
      <c r="D1088">
        <f t="shared" si="66"/>
        <v>2019</v>
      </c>
      <c r="E1088" s="11">
        <v>3.1309999999999998</v>
      </c>
      <c r="F1088" s="11">
        <v>101.54900000000001</v>
      </c>
      <c r="G1088" s="11">
        <v>27.4</v>
      </c>
      <c r="H1088" s="1" t="s">
        <v>0</v>
      </c>
      <c r="I1088">
        <v>5.0999999999999996</v>
      </c>
      <c r="J1088" t="s">
        <v>6</v>
      </c>
      <c r="K1088" t="s">
        <v>6</v>
      </c>
      <c r="L1088">
        <v>26.9</v>
      </c>
      <c r="M1088">
        <f t="shared" si="67"/>
        <v>1</v>
      </c>
    </row>
    <row r="1089" spans="1:13" x14ac:dyDescent="0.2">
      <c r="A1089" s="9">
        <v>43824</v>
      </c>
      <c r="B1089">
        <f t="shared" si="64"/>
        <v>25</v>
      </c>
      <c r="C1089">
        <f t="shared" si="65"/>
        <v>12</v>
      </c>
      <c r="D1089">
        <f t="shared" si="66"/>
        <v>2019</v>
      </c>
      <c r="E1089" s="11">
        <v>3.1309999999999998</v>
      </c>
      <c r="F1089" s="11">
        <v>101.54900000000001</v>
      </c>
      <c r="G1089" s="11">
        <v>27.4</v>
      </c>
      <c r="H1089" s="1" t="s">
        <v>0</v>
      </c>
      <c r="I1089">
        <v>27.9</v>
      </c>
      <c r="J1089" t="s">
        <v>6</v>
      </c>
      <c r="K1089">
        <v>24.4</v>
      </c>
      <c r="L1089">
        <v>27.5</v>
      </c>
      <c r="M1089">
        <f t="shared" si="67"/>
        <v>1</v>
      </c>
    </row>
    <row r="1090" spans="1:13" x14ac:dyDescent="0.2">
      <c r="A1090" s="9">
        <v>43825</v>
      </c>
      <c r="B1090">
        <f t="shared" si="64"/>
        <v>26</v>
      </c>
      <c r="C1090">
        <f t="shared" si="65"/>
        <v>12</v>
      </c>
      <c r="D1090">
        <f t="shared" si="66"/>
        <v>2019</v>
      </c>
      <c r="E1090" s="11">
        <v>3.1309999999999998</v>
      </c>
      <c r="F1090" s="11">
        <v>101.54900000000001</v>
      </c>
      <c r="G1090" s="11">
        <v>27.4</v>
      </c>
      <c r="H1090" s="1" t="s">
        <v>0</v>
      </c>
      <c r="I1090">
        <v>0</v>
      </c>
      <c r="J1090" t="s">
        <v>6</v>
      </c>
      <c r="K1090" t="s">
        <v>6</v>
      </c>
      <c r="L1090">
        <v>27.3</v>
      </c>
      <c r="M1090">
        <f t="shared" si="67"/>
        <v>0</v>
      </c>
    </row>
    <row r="1091" spans="1:13" x14ac:dyDescent="0.2">
      <c r="A1091" s="9">
        <v>43826</v>
      </c>
      <c r="B1091">
        <f t="shared" ref="B1091:B1154" si="68">DAY(A1091)</f>
        <v>27</v>
      </c>
      <c r="C1091">
        <f t="shared" ref="C1091:C1154" si="69">MONTH(A1091)</f>
        <v>12</v>
      </c>
      <c r="D1091">
        <f t="shared" ref="D1091:D1154" si="70">YEAR(A1091)</f>
        <v>2019</v>
      </c>
      <c r="E1091" s="11">
        <v>3.1309999999999998</v>
      </c>
      <c r="F1091" s="11">
        <v>101.54900000000001</v>
      </c>
      <c r="G1091" s="11">
        <v>27.4</v>
      </c>
      <c r="H1091" s="1" t="s">
        <v>0</v>
      </c>
      <c r="I1091">
        <v>0.3</v>
      </c>
      <c r="J1091" t="s">
        <v>6</v>
      </c>
      <c r="K1091">
        <v>24.2</v>
      </c>
      <c r="L1091">
        <v>28.2</v>
      </c>
      <c r="M1091">
        <f t="shared" ref="M1091:M1154" si="71">IF(ISNUMBER(I1091), IF(I1091&gt;0, 1, 0), "")</f>
        <v>1</v>
      </c>
    </row>
    <row r="1092" spans="1:13" x14ac:dyDescent="0.2">
      <c r="A1092" s="9">
        <v>43827</v>
      </c>
      <c r="B1092">
        <f t="shared" si="68"/>
        <v>28</v>
      </c>
      <c r="C1092">
        <f t="shared" si="69"/>
        <v>12</v>
      </c>
      <c r="D1092">
        <f t="shared" si="70"/>
        <v>2019</v>
      </c>
      <c r="E1092" s="11">
        <v>3.1309999999999998</v>
      </c>
      <c r="F1092" s="11">
        <v>101.54900000000001</v>
      </c>
      <c r="G1092" s="11">
        <v>27.4</v>
      </c>
      <c r="H1092" s="1" t="s">
        <v>0</v>
      </c>
      <c r="I1092">
        <v>0</v>
      </c>
      <c r="J1092" t="s">
        <v>6</v>
      </c>
      <c r="K1092">
        <v>24.9</v>
      </c>
      <c r="L1092">
        <v>27.8</v>
      </c>
      <c r="M1092">
        <f t="shared" si="71"/>
        <v>0</v>
      </c>
    </row>
    <row r="1093" spans="1:13" x14ac:dyDescent="0.2">
      <c r="A1093" s="9">
        <v>43828</v>
      </c>
      <c r="B1093">
        <f t="shared" si="68"/>
        <v>29</v>
      </c>
      <c r="C1093">
        <f t="shared" si="69"/>
        <v>12</v>
      </c>
      <c r="D1093">
        <f t="shared" si="70"/>
        <v>2019</v>
      </c>
      <c r="E1093" s="11">
        <v>3.1309999999999998</v>
      </c>
      <c r="F1093" s="11">
        <v>101.54900000000001</v>
      </c>
      <c r="G1093" s="11">
        <v>27.4</v>
      </c>
      <c r="H1093" s="1" t="s">
        <v>0</v>
      </c>
      <c r="I1093">
        <v>5.0999999999999996</v>
      </c>
      <c r="J1093" t="s">
        <v>6</v>
      </c>
      <c r="K1093" t="s">
        <v>6</v>
      </c>
      <c r="L1093">
        <v>28.6</v>
      </c>
      <c r="M1093">
        <f t="shared" si="71"/>
        <v>1</v>
      </c>
    </row>
    <row r="1094" spans="1:13" x14ac:dyDescent="0.2">
      <c r="A1094" s="9">
        <v>43829</v>
      </c>
      <c r="B1094">
        <f t="shared" si="68"/>
        <v>30</v>
      </c>
      <c r="C1094">
        <f t="shared" si="69"/>
        <v>12</v>
      </c>
      <c r="D1094">
        <f t="shared" si="70"/>
        <v>2019</v>
      </c>
      <c r="E1094" s="11">
        <v>3.1309999999999998</v>
      </c>
      <c r="F1094" s="11">
        <v>101.54900000000001</v>
      </c>
      <c r="G1094" s="11">
        <v>27.4</v>
      </c>
      <c r="H1094" s="1" t="s">
        <v>0</v>
      </c>
      <c r="I1094">
        <v>0</v>
      </c>
      <c r="J1094" t="s">
        <v>6</v>
      </c>
      <c r="K1094" t="s">
        <v>6</v>
      </c>
      <c r="L1094">
        <v>28</v>
      </c>
      <c r="M1094">
        <f t="shared" si="71"/>
        <v>0</v>
      </c>
    </row>
    <row r="1095" spans="1:13" x14ac:dyDescent="0.2">
      <c r="A1095" s="9">
        <v>43830</v>
      </c>
      <c r="B1095">
        <f t="shared" si="68"/>
        <v>31</v>
      </c>
      <c r="C1095">
        <f t="shared" si="69"/>
        <v>12</v>
      </c>
      <c r="D1095">
        <f t="shared" si="70"/>
        <v>2019</v>
      </c>
      <c r="E1095" s="11">
        <v>3.1309999999999998</v>
      </c>
      <c r="F1095" s="11">
        <v>101.54900000000001</v>
      </c>
      <c r="G1095" s="11">
        <v>27.4</v>
      </c>
      <c r="H1095" s="1" t="s">
        <v>0</v>
      </c>
      <c r="I1095" t="s">
        <v>6</v>
      </c>
      <c r="J1095" t="s">
        <v>6</v>
      </c>
      <c r="K1095">
        <v>24.4</v>
      </c>
      <c r="L1095">
        <v>28.7</v>
      </c>
      <c r="M1095" t="str">
        <f t="shared" si="71"/>
        <v/>
      </c>
    </row>
    <row r="1096" spans="1:13" x14ac:dyDescent="0.2">
      <c r="A1096" s="9">
        <v>43831</v>
      </c>
      <c r="B1096">
        <f t="shared" si="68"/>
        <v>1</v>
      </c>
      <c r="C1096">
        <f t="shared" si="69"/>
        <v>1</v>
      </c>
      <c r="D1096">
        <f t="shared" si="70"/>
        <v>2020</v>
      </c>
      <c r="E1096" s="11">
        <v>3.1309999999999998</v>
      </c>
      <c r="F1096" s="11">
        <v>101.54900000000001</v>
      </c>
      <c r="G1096" s="11">
        <v>27.4</v>
      </c>
      <c r="H1096" s="1" t="s">
        <v>0</v>
      </c>
      <c r="I1096" t="s">
        <v>6</v>
      </c>
      <c r="J1096" t="s">
        <v>6</v>
      </c>
      <c r="K1096">
        <v>24.3</v>
      </c>
      <c r="L1096">
        <v>29.3</v>
      </c>
      <c r="M1096" t="str">
        <f t="shared" si="71"/>
        <v/>
      </c>
    </row>
    <row r="1097" spans="1:13" x14ac:dyDescent="0.2">
      <c r="A1097" s="9">
        <v>43832</v>
      </c>
      <c r="B1097">
        <f t="shared" si="68"/>
        <v>2</v>
      </c>
      <c r="C1097">
        <f t="shared" si="69"/>
        <v>1</v>
      </c>
      <c r="D1097">
        <f t="shared" si="70"/>
        <v>2020</v>
      </c>
      <c r="E1097" s="11">
        <v>3.1309999999999998</v>
      </c>
      <c r="F1097" s="11">
        <v>101.54900000000001</v>
      </c>
      <c r="G1097" s="11">
        <v>27.4</v>
      </c>
      <c r="H1097" s="1" t="s">
        <v>0</v>
      </c>
      <c r="I1097" t="s">
        <v>6</v>
      </c>
      <c r="J1097" t="s">
        <v>6</v>
      </c>
      <c r="K1097">
        <v>24.9</v>
      </c>
      <c r="L1097">
        <v>28.1</v>
      </c>
      <c r="M1097" t="str">
        <f t="shared" si="71"/>
        <v/>
      </c>
    </row>
    <row r="1098" spans="1:13" x14ac:dyDescent="0.2">
      <c r="A1098" s="9">
        <v>43833</v>
      </c>
      <c r="B1098">
        <f t="shared" si="68"/>
        <v>3</v>
      </c>
      <c r="C1098">
        <f t="shared" si="69"/>
        <v>1</v>
      </c>
      <c r="D1098">
        <f t="shared" si="70"/>
        <v>2020</v>
      </c>
      <c r="E1098" s="11">
        <v>3.1309999999999998</v>
      </c>
      <c r="F1098" s="11">
        <v>101.54900000000001</v>
      </c>
      <c r="G1098" s="11">
        <v>27.4</v>
      </c>
      <c r="H1098" s="1" t="s">
        <v>0</v>
      </c>
      <c r="I1098" t="s">
        <v>6</v>
      </c>
      <c r="J1098" t="s">
        <v>6</v>
      </c>
      <c r="K1098">
        <v>24.9</v>
      </c>
      <c r="L1098">
        <v>28.3</v>
      </c>
      <c r="M1098" t="str">
        <f t="shared" si="71"/>
        <v/>
      </c>
    </row>
    <row r="1099" spans="1:13" x14ac:dyDescent="0.2">
      <c r="A1099" s="9">
        <v>43834</v>
      </c>
      <c r="B1099">
        <f t="shared" si="68"/>
        <v>4</v>
      </c>
      <c r="C1099">
        <f t="shared" si="69"/>
        <v>1</v>
      </c>
      <c r="D1099">
        <f t="shared" si="70"/>
        <v>2020</v>
      </c>
      <c r="E1099" s="11">
        <v>3.1309999999999998</v>
      </c>
      <c r="F1099" s="11">
        <v>101.54900000000001</v>
      </c>
      <c r="G1099" s="11">
        <v>27.4</v>
      </c>
      <c r="H1099" s="1" t="s">
        <v>0</v>
      </c>
      <c r="I1099" t="s">
        <v>6</v>
      </c>
      <c r="J1099" t="s">
        <v>6</v>
      </c>
      <c r="K1099">
        <v>24.9</v>
      </c>
      <c r="L1099">
        <v>28.7</v>
      </c>
      <c r="M1099" t="str">
        <f t="shared" si="71"/>
        <v/>
      </c>
    </row>
    <row r="1100" spans="1:13" x14ac:dyDescent="0.2">
      <c r="A1100" s="9">
        <v>43835</v>
      </c>
      <c r="B1100">
        <f t="shared" si="68"/>
        <v>5</v>
      </c>
      <c r="C1100">
        <f t="shared" si="69"/>
        <v>1</v>
      </c>
      <c r="D1100">
        <f t="shared" si="70"/>
        <v>2020</v>
      </c>
      <c r="E1100" s="11">
        <v>3.1309999999999998</v>
      </c>
      <c r="F1100" s="11">
        <v>101.54900000000001</v>
      </c>
      <c r="G1100" s="11">
        <v>27.4</v>
      </c>
      <c r="H1100" s="1" t="s">
        <v>0</v>
      </c>
      <c r="I1100" t="s">
        <v>6</v>
      </c>
      <c r="J1100" t="s">
        <v>6</v>
      </c>
      <c r="K1100">
        <v>24.4</v>
      </c>
      <c r="L1100">
        <v>28.5</v>
      </c>
      <c r="M1100" t="str">
        <f t="shared" si="71"/>
        <v/>
      </c>
    </row>
    <row r="1101" spans="1:13" x14ac:dyDescent="0.2">
      <c r="A1101" s="9">
        <v>43836</v>
      </c>
      <c r="B1101">
        <f t="shared" si="68"/>
        <v>6</v>
      </c>
      <c r="C1101">
        <f t="shared" si="69"/>
        <v>1</v>
      </c>
      <c r="D1101">
        <f t="shared" si="70"/>
        <v>2020</v>
      </c>
      <c r="E1101" s="11">
        <v>3.1309999999999998</v>
      </c>
      <c r="F1101" s="11">
        <v>101.54900000000001</v>
      </c>
      <c r="G1101" s="11">
        <v>27.4</v>
      </c>
      <c r="H1101" s="1" t="s">
        <v>0</v>
      </c>
      <c r="I1101" t="s">
        <v>6</v>
      </c>
      <c r="J1101" t="s">
        <v>6</v>
      </c>
      <c r="K1101">
        <v>24.7</v>
      </c>
      <c r="L1101">
        <v>28.4</v>
      </c>
      <c r="M1101" t="str">
        <f t="shared" si="71"/>
        <v/>
      </c>
    </row>
    <row r="1102" spans="1:13" x14ac:dyDescent="0.2">
      <c r="A1102" s="9">
        <v>43837</v>
      </c>
      <c r="B1102">
        <f t="shared" si="68"/>
        <v>7</v>
      </c>
      <c r="C1102">
        <f t="shared" si="69"/>
        <v>1</v>
      </c>
      <c r="D1102">
        <f t="shared" si="70"/>
        <v>2020</v>
      </c>
      <c r="E1102" s="11">
        <v>3.1309999999999998</v>
      </c>
      <c r="F1102" s="11">
        <v>101.54900000000001</v>
      </c>
      <c r="G1102" s="11">
        <v>27.4</v>
      </c>
      <c r="H1102" s="1" t="s">
        <v>0</v>
      </c>
      <c r="I1102" t="s">
        <v>6</v>
      </c>
      <c r="J1102" t="s">
        <v>6</v>
      </c>
      <c r="K1102">
        <v>24.8</v>
      </c>
      <c r="L1102">
        <v>29.4</v>
      </c>
      <c r="M1102" t="str">
        <f t="shared" si="71"/>
        <v/>
      </c>
    </row>
    <row r="1103" spans="1:13" x14ac:dyDescent="0.2">
      <c r="A1103" s="9">
        <v>43838</v>
      </c>
      <c r="B1103">
        <f t="shared" si="68"/>
        <v>8</v>
      </c>
      <c r="C1103">
        <f t="shared" si="69"/>
        <v>1</v>
      </c>
      <c r="D1103">
        <f t="shared" si="70"/>
        <v>2020</v>
      </c>
      <c r="E1103" s="11">
        <v>3.1309999999999998</v>
      </c>
      <c r="F1103" s="11">
        <v>101.54900000000001</v>
      </c>
      <c r="G1103" s="11">
        <v>27.4</v>
      </c>
      <c r="H1103" s="1" t="s">
        <v>0</v>
      </c>
      <c r="I1103" t="s">
        <v>6</v>
      </c>
      <c r="J1103" t="s">
        <v>6</v>
      </c>
      <c r="K1103" t="s">
        <v>6</v>
      </c>
      <c r="L1103">
        <v>28.2</v>
      </c>
      <c r="M1103" t="str">
        <f t="shared" si="71"/>
        <v/>
      </c>
    </row>
    <row r="1104" spans="1:13" x14ac:dyDescent="0.2">
      <c r="A1104" s="9">
        <v>43839</v>
      </c>
      <c r="B1104">
        <f t="shared" si="68"/>
        <v>9</v>
      </c>
      <c r="C1104">
        <f t="shared" si="69"/>
        <v>1</v>
      </c>
      <c r="D1104">
        <f t="shared" si="70"/>
        <v>2020</v>
      </c>
      <c r="E1104" s="11">
        <v>3.1309999999999998</v>
      </c>
      <c r="F1104" s="11">
        <v>101.54900000000001</v>
      </c>
      <c r="G1104" s="11">
        <v>27.4</v>
      </c>
      <c r="H1104" s="1" t="s">
        <v>0</v>
      </c>
      <c r="I1104" t="s">
        <v>6</v>
      </c>
      <c r="J1104" t="s">
        <v>6</v>
      </c>
      <c r="K1104">
        <v>24.3</v>
      </c>
      <c r="L1104">
        <v>27.9</v>
      </c>
      <c r="M1104" t="str">
        <f t="shared" si="71"/>
        <v/>
      </c>
    </row>
    <row r="1105" spans="1:13" x14ac:dyDescent="0.2">
      <c r="A1105" s="9">
        <v>43840</v>
      </c>
      <c r="B1105">
        <f t="shared" si="68"/>
        <v>10</v>
      </c>
      <c r="C1105">
        <f t="shared" si="69"/>
        <v>1</v>
      </c>
      <c r="D1105">
        <f t="shared" si="70"/>
        <v>2020</v>
      </c>
      <c r="E1105" s="11">
        <v>3.1309999999999998</v>
      </c>
      <c r="F1105" s="11">
        <v>101.54900000000001</v>
      </c>
      <c r="G1105" s="11">
        <v>27.4</v>
      </c>
      <c r="H1105" s="1" t="s">
        <v>0</v>
      </c>
      <c r="I1105" t="s">
        <v>6</v>
      </c>
      <c r="J1105" t="s">
        <v>6</v>
      </c>
      <c r="K1105">
        <v>24.6</v>
      </c>
      <c r="L1105">
        <v>27.4</v>
      </c>
      <c r="M1105" t="str">
        <f t="shared" si="71"/>
        <v/>
      </c>
    </row>
    <row r="1106" spans="1:13" x14ac:dyDescent="0.2">
      <c r="A1106" s="9">
        <v>43841</v>
      </c>
      <c r="B1106">
        <f t="shared" si="68"/>
        <v>11</v>
      </c>
      <c r="C1106">
        <f t="shared" si="69"/>
        <v>1</v>
      </c>
      <c r="D1106">
        <f t="shared" si="70"/>
        <v>2020</v>
      </c>
      <c r="E1106" s="11">
        <v>3.1309999999999998</v>
      </c>
      <c r="F1106" s="11">
        <v>101.54900000000001</v>
      </c>
      <c r="G1106" s="11">
        <v>27.4</v>
      </c>
      <c r="H1106" s="1" t="s">
        <v>0</v>
      </c>
      <c r="I1106" t="s">
        <v>6</v>
      </c>
      <c r="J1106" t="s">
        <v>6</v>
      </c>
      <c r="K1106">
        <v>24.7</v>
      </c>
      <c r="L1106">
        <v>28.5</v>
      </c>
      <c r="M1106" t="str">
        <f t="shared" si="71"/>
        <v/>
      </c>
    </row>
    <row r="1107" spans="1:13" x14ac:dyDescent="0.2">
      <c r="A1107" s="9">
        <v>43842</v>
      </c>
      <c r="B1107">
        <f t="shared" si="68"/>
        <v>12</v>
      </c>
      <c r="C1107">
        <f t="shared" si="69"/>
        <v>1</v>
      </c>
      <c r="D1107">
        <f t="shared" si="70"/>
        <v>2020</v>
      </c>
      <c r="E1107" s="11">
        <v>3.1309999999999998</v>
      </c>
      <c r="F1107" s="11">
        <v>101.54900000000001</v>
      </c>
      <c r="G1107" s="11">
        <v>27.4</v>
      </c>
      <c r="H1107" s="1" t="s">
        <v>0</v>
      </c>
      <c r="I1107" t="s">
        <v>6</v>
      </c>
      <c r="J1107" t="s">
        <v>6</v>
      </c>
      <c r="K1107">
        <v>24.8</v>
      </c>
      <c r="L1107">
        <v>28.1</v>
      </c>
      <c r="M1107" t="str">
        <f t="shared" si="71"/>
        <v/>
      </c>
    </row>
    <row r="1108" spans="1:13" x14ac:dyDescent="0.2">
      <c r="A1108" s="9">
        <v>43843</v>
      </c>
      <c r="B1108">
        <f t="shared" si="68"/>
        <v>13</v>
      </c>
      <c r="C1108">
        <f t="shared" si="69"/>
        <v>1</v>
      </c>
      <c r="D1108">
        <f t="shared" si="70"/>
        <v>2020</v>
      </c>
      <c r="E1108" s="11">
        <v>3.1309999999999998</v>
      </c>
      <c r="F1108" s="11">
        <v>101.54900000000001</v>
      </c>
      <c r="G1108" s="11">
        <v>27.4</v>
      </c>
      <c r="H1108" s="1" t="s">
        <v>0</v>
      </c>
      <c r="I1108" t="s">
        <v>6</v>
      </c>
      <c r="J1108" t="s">
        <v>6</v>
      </c>
      <c r="K1108">
        <v>24.9</v>
      </c>
      <c r="L1108">
        <v>27.7</v>
      </c>
      <c r="M1108" t="str">
        <f t="shared" si="71"/>
        <v/>
      </c>
    </row>
    <row r="1109" spans="1:13" x14ac:dyDescent="0.2">
      <c r="A1109" s="9">
        <v>43844</v>
      </c>
      <c r="B1109">
        <f t="shared" si="68"/>
        <v>14</v>
      </c>
      <c r="C1109">
        <f t="shared" si="69"/>
        <v>1</v>
      </c>
      <c r="D1109">
        <f t="shared" si="70"/>
        <v>2020</v>
      </c>
      <c r="E1109" s="11">
        <v>3.1309999999999998</v>
      </c>
      <c r="F1109" s="11">
        <v>101.54900000000001</v>
      </c>
      <c r="G1109" s="11">
        <v>27.4</v>
      </c>
      <c r="H1109" s="1" t="s">
        <v>0</v>
      </c>
      <c r="I1109" t="s">
        <v>6</v>
      </c>
      <c r="J1109" t="s">
        <v>6</v>
      </c>
      <c r="K1109" t="s">
        <v>6</v>
      </c>
      <c r="L1109">
        <v>28.7</v>
      </c>
      <c r="M1109" t="str">
        <f t="shared" si="71"/>
        <v/>
      </c>
    </row>
    <row r="1110" spans="1:13" x14ac:dyDescent="0.2">
      <c r="A1110" s="9">
        <v>43845</v>
      </c>
      <c r="B1110">
        <f t="shared" si="68"/>
        <v>15</v>
      </c>
      <c r="C1110">
        <f t="shared" si="69"/>
        <v>1</v>
      </c>
      <c r="D1110">
        <f t="shared" si="70"/>
        <v>2020</v>
      </c>
      <c r="E1110" s="11">
        <v>3.1309999999999998</v>
      </c>
      <c r="F1110" s="11">
        <v>101.54900000000001</v>
      </c>
      <c r="G1110" s="11">
        <v>27.4</v>
      </c>
      <c r="H1110" s="1" t="s">
        <v>0</v>
      </c>
      <c r="I1110" t="s">
        <v>6</v>
      </c>
      <c r="J1110" t="s">
        <v>6</v>
      </c>
      <c r="K1110">
        <v>24.6</v>
      </c>
      <c r="L1110">
        <v>28.3</v>
      </c>
      <c r="M1110" t="str">
        <f t="shared" si="71"/>
        <v/>
      </c>
    </row>
    <row r="1111" spans="1:13" x14ac:dyDescent="0.2">
      <c r="A1111" s="9">
        <v>43846</v>
      </c>
      <c r="B1111">
        <f t="shared" si="68"/>
        <v>16</v>
      </c>
      <c r="C1111">
        <f t="shared" si="69"/>
        <v>1</v>
      </c>
      <c r="D1111">
        <f t="shared" si="70"/>
        <v>2020</v>
      </c>
      <c r="E1111" s="11">
        <v>3.1309999999999998</v>
      </c>
      <c r="F1111" s="11">
        <v>101.54900000000001</v>
      </c>
      <c r="G1111" s="11">
        <v>27.4</v>
      </c>
      <c r="H1111" s="1" t="s">
        <v>0</v>
      </c>
      <c r="I1111" t="s">
        <v>6</v>
      </c>
      <c r="J1111" t="s">
        <v>6</v>
      </c>
      <c r="K1111">
        <v>24.8</v>
      </c>
      <c r="L1111">
        <v>28.3</v>
      </c>
      <c r="M1111" t="str">
        <f t="shared" si="71"/>
        <v/>
      </c>
    </row>
    <row r="1112" spans="1:13" x14ac:dyDescent="0.2">
      <c r="A1112" s="9">
        <v>43847</v>
      </c>
      <c r="B1112">
        <f t="shared" si="68"/>
        <v>17</v>
      </c>
      <c r="C1112">
        <f t="shared" si="69"/>
        <v>1</v>
      </c>
      <c r="D1112">
        <f t="shared" si="70"/>
        <v>2020</v>
      </c>
      <c r="E1112" s="11">
        <v>3.1309999999999998</v>
      </c>
      <c r="F1112" s="11">
        <v>101.54900000000001</v>
      </c>
      <c r="G1112" s="11">
        <v>27.4</v>
      </c>
      <c r="H1112" s="1" t="s">
        <v>0</v>
      </c>
      <c r="I1112" t="s">
        <v>6</v>
      </c>
      <c r="J1112" t="s">
        <v>6</v>
      </c>
      <c r="K1112" t="s">
        <v>6</v>
      </c>
      <c r="L1112">
        <v>28.1</v>
      </c>
      <c r="M1112" t="str">
        <f t="shared" si="71"/>
        <v/>
      </c>
    </row>
    <row r="1113" spans="1:13" x14ac:dyDescent="0.2">
      <c r="A1113" s="9">
        <v>43848</v>
      </c>
      <c r="B1113">
        <f t="shared" si="68"/>
        <v>18</v>
      </c>
      <c r="C1113">
        <f t="shared" si="69"/>
        <v>1</v>
      </c>
      <c r="D1113">
        <f t="shared" si="70"/>
        <v>2020</v>
      </c>
      <c r="E1113" s="11">
        <v>3.1309999999999998</v>
      </c>
      <c r="F1113" s="11">
        <v>101.54900000000001</v>
      </c>
      <c r="G1113" s="11">
        <v>27.4</v>
      </c>
      <c r="H1113" s="1" t="s">
        <v>0</v>
      </c>
      <c r="I1113" t="s">
        <v>6</v>
      </c>
      <c r="J1113" t="s">
        <v>6</v>
      </c>
      <c r="K1113">
        <v>24.6</v>
      </c>
      <c r="L1113">
        <v>28.3</v>
      </c>
      <c r="M1113" t="str">
        <f t="shared" si="71"/>
        <v/>
      </c>
    </row>
    <row r="1114" spans="1:13" x14ac:dyDescent="0.2">
      <c r="A1114" s="9">
        <v>43849</v>
      </c>
      <c r="B1114">
        <f t="shared" si="68"/>
        <v>19</v>
      </c>
      <c r="C1114">
        <f t="shared" si="69"/>
        <v>1</v>
      </c>
      <c r="D1114">
        <f t="shared" si="70"/>
        <v>2020</v>
      </c>
      <c r="E1114" s="11">
        <v>3.1309999999999998</v>
      </c>
      <c r="F1114" s="11">
        <v>101.54900000000001</v>
      </c>
      <c r="G1114" s="11">
        <v>27.4</v>
      </c>
      <c r="H1114" s="1" t="s">
        <v>0</v>
      </c>
      <c r="I1114" t="s">
        <v>6</v>
      </c>
      <c r="J1114" t="s">
        <v>6</v>
      </c>
      <c r="K1114">
        <v>24.8</v>
      </c>
      <c r="L1114">
        <v>27.9</v>
      </c>
      <c r="M1114" t="str">
        <f t="shared" si="71"/>
        <v/>
      </c>
    </row>
    <row r="1115" spans="1:13" x14ac:dyDescent="0.2">
      <c r="A1115" s="9">
        <v>43850</v>
      </c>
      <c r="B1115">
        <f t="shared" si="68"/>
        <v>20</v>
      </c>
      <c r="C1115">
        <f t="shared" si="69"/>
        <v>1</v>
      </c>
      <c r="D1115">
        <f t="shared" si="70"/>
        <v>2020</v>
      </c>
      <c r="E1115" s="11">
        <v>3.1309999999999998</v>
      </c>
      <c r="F1115" s="11">
        <v>101.54900000000001</v>
      </c>
      <c r="G1115" s="11">
        <v>27.4</v>
      </c>
      <c r="H1115" s="1" t="s">
        <v>0</v>
      </c>
      <c r="I1115" t="s">
        <v>6</v>
      </c>
      <c r="J1115" t="s">
        <v>6</v>
      </c>
      <c r="K1115">
        <v>24.6</v>
      </c>
      <c r="L1115">
        <v>29.6</v>
      </c>
      <c r="M1115" t="str">
        <f t="shared" si="71"/>
        <v/>
      </c>
    </row>
    <row r="1116" spans="1:13" x14ac:dyDescent="0.2">
      <c r="A1116" s="9">
        <v>43851</v>
      </c>
      <c r="B1116">
        <f t="shared" si="68"/>
        <v>21</v>
      </c>
      <c r="C1116">
        <f t="shared" si="69"/>
        <v>1</v>
      </c>
      <c r="D1116">
        <f t="shared" si="70"/>
        <v>2020</v>
      </c>
      <c r="E1116" s="11">
        <v>3.1309999999999998</v>
      </c>
      <c r="F1116" s="11">
        <v>101.54900000000001</v>
      </c>
      <c r="G1116" s="11">
        <v>27.4</v>
      </c>
      <c r="H1116" s="1" t="s">
        <v>0</v>
      </c>
      <c r="I1116" t="s">
        <v>6</v>
      </c>
      <c r="J1116" t="s">
        <v>6</v>
      </c>
      <c r="K1116">
        <v>24.8</v>
      </c>
      <c r="L1116">
        <v>28.9</v>
      </c>
      <c r="M1116" t="str">
        <f t="shared" si="71"/>
        <v/>
      </c>
    </row>
    <row r="1117" spans="1:13" x14ac:dyDescent="0.2">
      <c r="A1117" s="9">
        <v>43852</v>
      </c>
      <c r="B1117">
        <f t="shared" si="68"/>
        <v>22</v>
      </c>
      <c r="C1117">
        <f t="shared" si="69"/>
        <v>1</v>
      </c>
      <c r="D1117">
        <f t="shared" si="70"/>
        <v>2020</v>
      </c>
      <c r="E1117" s="11">
        <v>3.1309999999999998</v>
      </c>
      <c r="F1117" s="11">
        <v>101.54900000000001</v>
      </c>
      <c r="G1117" s="11">
        <v>27.4</v>
      </c>
      <c r="H1117" s="1" t="s">
        <v>0</v>
      </c>
      <c r="I1117" t="s">
        <v>6</v>
      </c>
      <c r="J1117" t="s">
        <v>6</v>
      </c>
      <c r="K1117" t="s">
        <v>6</v>
      </c>
      <c r="L1117">
        <v>29.8</v>
      </c>
      <c r="M1117" t="str">
        <f t="shared" si="71"/>
        <v/>
      </c>
    </row>
    <row r="1118" spans="1:13" x14ac:dyDescent="0.2">
      <c r="A1118" s="9">
        <v>43853</v>
      </c>
      <c r="B1118">
        <f t="shared" si="68"/>
        <v>23</v>
      </c>
      <c r="C1118">
        <f t="shared" si="69"/>
        <v>1</v>
      </c>
      <c r="D1118">
        <f t="shared" si="70"/>
        <v>2020</v>
      </c>
      <c r="E1118" s="11">
        <v>3.1309999999999998</v>
      </c>
      <c r="F1118" s="11">
        <v>101.54900000000001</v>
      </c>
      <c r="G1118" s="11">
        <v>27.4</v>
      </c>
      <c r="H1118" s="1" t="s">
        <v>0</v>
      </c>
      <c r="I1118" t="s">
        <v>6</v>
      </c>
      <c r="J1118" t="s">
        <v>6</v>
      </c>
      <c r="K1118">
        <v>25.4</v>
      </c>
      <c r="L1118">
        <v>29.2</v>
      </c>
      <c r="M1118" t="str">
        <f t="shared" si="71"/>
        <v/>
      </c>
    </row>
    <row r="1119" spans="1:13" x14ac:dyDescent="0.2">
      <c r="A1119" s="9">
        <v>43854</v>
      </c>
      <c r="B1119">
        <f t="shared" si="68"/>
        <v>24</v>
      </c>
      <c r="C1119">
        <f t="shared" si="69"/>
        <v>1</v>
      </c>
      <c r="D1119">
        <f t="shared" si="70"/>
        <v>2020</v>
      </c>
      <c r="E1119" s="11">
        <v>3.1309999999999998</v>
      </c>
      <c r="F1119" s="11">
        <v>101.54900000000001</v>
      </c>
      <c r="G1119" s="11">
        <v>27.4</v>
      </c>
      <c r="H1119" s="1" t="s">
        <v>0</v>
      </c>
      <c r="I1119" t="s">
        <v>6</v>
      </c>
      <c r="J1119" t="s">
        <v>6</v>
      </c>
      <c r="K1119">
        <v>25.4</v>
      </c>
      <c r="L1119">
        <v>29.9</v>
      </c>
      <c r="M1119" t="str">
        <f t="shared" si="71"/>
        <v/>
      </c>
    </row>
    <row r="1120" spans="1:13" x14ac:dyDescent="0.2">
      <c r="A1120" s="9">
        <v>43855</v>
      </c>
      <c r="B1120">
        <f t="shared" si="68"/>
        <v>25</v>
      </c>
      <c r="C1120">
        <f t="shared" si="69"/>
        <v>1</v>
      </c>
      <c r="D1120">
        <f t="shared" si="70"/>
        <v>2020</v>
      </c>
      <c r="E1120" s="11">
        <v>3.1309999999999998</v>
      </c>
      <c r="F1120" s="11">
        <v>101.54900000000001</v>
      </c>
      <c r="G1120" s="11">
        <v>27.4</v>
      </c>
      <c r="H1120" s="1" t="s">
        <v>0</v>
      </c>
      <c r="I1120" t="s">
        <v>6</v>
      </c>
      <c r="J1120">
        <v>35</v>
      </c>
      <c r="K1120">
        <v>25.8</v>
      </c>
      <c r="L1120">
        <v>29.9</v>
      </c>
      <c r="M1120" t="str">
        <f t="shared" si="71"/>
        <v/>
      </c>
    </row>
    <row r="1121" spans="1:13" x14ac:dyDescent="0.2">
      <c r="A1121" s="9">
        <v>43856</v>
      </c>
      <c r="B1121">
        <f t="shared" si="68"/>
        <v>26</v>
      </c>
      <c r="C1121">
        <f t="shared" si="69"/>
        <v>1</v>
      </c>
      <c r="D1121">
        <f t="shared" si="70"/>
        <v>2020</v>
      </c>
      <c r="E1121" s="11">
        <v>3.1309999999999998</v>
      </c>
      <c r="F1121" s="11">
        <v>101.54900000000001</v>
      </c>
      <c r="G1121" s="11">
        <v>27.4</v>
      </c>
      <c r="H1121" s="1" t="s">
        <v>0</v>
      </c>
      <c r="I1121" t="s">
        <v>6</v>
      </c>
      <c r="J1121" t="s">
        <v>6</v>
      </c>
      <c r="K1121">
        <v>26</v>
      </c>
      <c r="L1121">
        <v>29.6</v>
      </c>
      <c r="M1121" t="str">
        <f t="shared" si="71"/>
        <v/>
      </c>
    </row>
    <row r="1122" spans="1:13" x14ac:dyDescent="0.2">
      <c r="A1122" s="9">
        <v>43857</v>
      </c>
      <c r="B1122">
        <f t="shared" si="68"/>
        <v>27</v>
      </c>
      <c r="C1122">
        <f t="shared" si="69"/>
        <v>1</v>
      </c>
      <c r="D1122">
        <f t="shared" si="70"/>
        <v>2020</v>
      </c>
      <c r="E1122" s="11">
        <v>3.1309999999999998</v>
      </c>
      <c r="F1122" s="11">
        <v>101.54900000000001</v>
      </c>
      <c r="G1122" s="11">
        <v>27.4</v>
      </c>
      <c r="H1122" s="1" t="s">
        <v>0</v>
      </c>
      <c r="I1122">
        <v>0.5</v>
      </c>
      <c r="J1122" t="s">
        <v>6</v>
      </c>
      <c r="K1122">
        <v>26.2</v>
      </c>
      <c r="L1122">
        <v>28.8</v>
      </c>
      <c r="M1122">
        <f t="shared" si="71"/>
        <v>1</v>
      </c>
    </row>
    <row r="1123" spans="1:13" x14ac:dyDescent="0.2">
      <c r="A1123" s="9">
        <v>43858</v>
      </c>
      <c r="B1123">
        <f t="shared" si="68"/>
        <v>28</v>
      </c>
      <c r="C1123">
        <f t="shared" si="69"/>
        <v>1</v>
      </c>
      <c r="D1123">
        <f t="shared" si="70"/>
        <v>2020</v>
      </c>
      <c r="E1123" s="11">
        <v>3.1309999999999998</v>
      </c>
      <c r="F1123" s="11">
        <v>101.54900000000001</v>
      </c>
      <c r="G1123" s="11">
        <v>27.4</v>
      </c>
      <c r="H1123" s="1" t="s">
        <v>0</v>
      </c>
      <c r="I1123">
        <v>0</v>
      </c>
      <c r="J1123" t="s">
        <v>6</v>
      </c>
      <c r="K1123" t="s">
        <v>6</v>
      </c>
      <c r="L1123">
        <v>29.1</v>
      </c>
      <c r="M1123">
        <f t="shared" si="71"/>
        <v>0</v>
      </c>
    </row>
    <row r="1124" spans="1:13" x14ac:dyDescent="0.2">
      <c r="A1124" s="9">
        <v>43859</v>
      </c>
      <c r="B1124">
        <f t="shared" si="68"/>
        <v>29</v>
      </c>
      <c r="C1124">
        <f t="shared" si="69"/>
        <v>1</v>
      </c>
      <c r="D1124">
        <f t="shared" si="70"/>
        <v>2020</v>
      </c>
      <c r="E1124" s="11">
        <v>3.1309999999999998</v>
      </c>
      <c r="F1124" s="11">
        <v>101.54900000000001</v>
      </c>
      <c r="G1124" s="11">
        <v>27.4</v>
      </c>
      <c r="H1124" s="1" t="s">
        <v>0</v>
      </c>
      <c r="I1124">
        <v>4.0999999999999996</v>
      </c>
      <c r="J1124" t="s">
        <v>6</v>
      </c>
      <c r="K1124" t="s">
        <v>6</v>
      </c>
      <c r="L1124">
        <v>24.8</v>
      </c>
      <c r="M1124">
        <f t="shared" si="71"/>
        <v>1</v>
      </c>
    </row>
    <row r="1125" spans="1:13" x14ac:dyDescent="0.2">
      <c r="A1125" s="9">
        <v>43860</v>
      </c>
      <c r="B1125">
        <f t="shared" si="68"/>
        <v>30</v>
      </c>
      <c r="C1125">
        <f t="shared" si="69"/>
        <v>1</v>
      </c>
      <c r="D1125">
        <f t="shared" si="70"/>
        <v>2020</v>
      </c>
      <c r="E1125" s="11">
        <v>3.1309999999999998</v>
      </c>
      <c r="F1125" s="11">
        <v>101.54900000000001</v>
      </c>
      <c r="G1125" s="11">
        <v>27.4</v>
      </c>
      <c r="H1125" s="1" t="s">
        <v>0</v>
      </c>
      <c r="I1125">
        <v>24.9</v>
      </c>
      <c r="J1125" t="s">
        <v>6</v>
      </c>
      <c r="K1125">
        <v>23.6</v>
      </c>
      <c r="L1125">
        <v>27.8</v>
      </c>
      <c r="M1125">
        <f t="shared" si="71"/>
        <v>1</v>
      </c>
    </row>
    <row r="1126" spans="1:13" x14ac:dyDescent="0.2">
      <c r="A1126" s="9">
        <v>43861</v>
      </c>
      <c r="B1126">
        <f t="shared" si="68"/>
        <v>31</v>
      </c>
      <c r="C1126">
        <f t="shared" si="69"/>
        <v>1</v>
      </c>
      <c r="D1126">
        <f t="shared" si="70"/>
        <v>2020</v>
      </c>
      <c r="E1126" s="11">
        <v>3.1309999999999998</v>
      </c>
      <c r="F1126" s="11">
        <v>101.54900000000001</v>
      </c>
      <c r="G1126" s="11">
        <v>27.4</v>
      </c>
      <c r="H1126" s="1" t="s">
        <v>0</v>
      </c>
      <c r="I1126">
        <v>6.1</v>
      </c>
      <c r="J1126" t="s">
        <v>6</v>
      </c>
      <c r="K1126">
        <v>23.8</v>
      </c>
      <c r="L1126">
        <v>28.2</v>
      </c>
      <c r="M1126">
        <f t="shared" si="71"/>
        <v>1</v>
      </c>
    </row>
    <row r="1127" spans="1:13" x14ac:dyDescent="0.2">
      <c r="A1127" s="9">
        <v>43862</v>
      </c>
      <c r="B1127">
        <f t="shared" si="68"/>
        <v>1</v>
      </c>
      <c r="C1127">
        <f t="shared" si="69"/>
        <v>2</v>
      </c>
      <c r="D1127">
        <f t="shared" si="70"/>
        <v>2020</v>
      </c>
      <c r="E1127" s="11">
        <v>3.1309999999999998</v>
      </c>
      <c r="F1127" s="11">
        <v>101.54900000000001</v>
      </c>
      <c r="G1127" s="11">
        <v>27.4</v>
      </c>
      <c r="H1127" s="1" t="s">
        <v>0</v>
      </c>
      <c r="I1127">
        <v>0</v>
      </c>
      <c r="J1127" t="s">
        <v>6</v>
      </c>
      <c r="K1127">
        <v>25.1</v>
      </c>
      <c r="L1127">
        <v>29.4</v>
      </c>
      <c r="M1127">
        <f t="shared" si="71"/>
        <v>0</v>
      </c>
    </row>
    <row r="1128" spans="1:13" x14ac:dyDescent="0.2">
      <c r="A1128" s="9">
        <v>43863</v>
      </c>
      <c r="B1128">
        <f t="shared" si="68"/>
        <v>2</v>
      </c>
      <c r="C1128">
        <f t="shared" si="69"/>
        <v>2</v>
      </c>
      <c r="D1128">
        <f t="shared" si="70"/>
        <v>2020</v>
      </c>
      <c r="E1128" s="11">
        <v>3.1309999999999998</v>
      </c>
      <c r="F1128" s="11">
        <v>101.54900000000001</v>
      </c>
      <c r="G1128" s="11">
        <v>27.4</v>
      </c>
      <c r="H1128" s="1" t="s">
        <v>0</v>
      </c>
      <c r="I1128" t="s">
        <v>6</v>
      </c>
      <c r="J1128" t="s">
        <v>6</v>
      </c>
      <c r="K1128" t="s">
        <v>6</v>
      </c>
      <c r="L1128">
        <v>29.3</v>
      </c>
      <c r="M1128" t="str">
        <f t="shared" si="71"/>
        <v/>
      </c>
    </row>
    <row r="1129" spans="1:13" x14ac:dyDescent="0.2">
      <c r="A1129" s="9">
        <v>43864</v>
      </c>
      <c r="B1129">
        <f t="shared" si="68"/>
        <v>3</v>
      </c>
      <c r="C1129">
        <f t="shared" si="69"/>
        <v>2</v>
      </c>
      <c r="D1129">
        <f t="shared" si="70"/>
        <v>2020</v>
      </c>
      <c r="E1129" s="11">
        <v>3.1309999999999998</v>
      </c>
      <c r="F1129" s="11">
        <v>101.54900000000001</v>
      </c>
      <c r="G1129" s="11">
        <v>27.4</v>
      </c>
      <c r="H1129" s="1" t="s">
        <v>0</v>
      </c>
      <c r="I1129" t="s">
        <v>6</v>
      </c>
      <c r="J1129" t="s">
        <v>6</v>
      </c>
      <c r="K1129">
        <v>24.7</v>
      </c>
      <c r="L1129">
        <v>28.8</v>
      </c>
      <c r="M1129" t="str">
        <f t="shared" si="71"/>
        <v/>
      </c>
    </row>
    <row r="1130" spans="1:13" x14ac:dyDescent="0.2">
      <c r="A1130" s="9">
        <v>43865</v>
      </c>
      <c r="B1130">
        <f t="shared" si="68"/>
        <v>4</v>
      </c>
      <c r="C1130">
        <f t="shared" si="69"/>
        <v>2</v>
      </c>
      <c r="D1130">
        <f t="shared" si="70"/>
        <v>2020</v>
      </c>
      <c r="E1130" s="11">
        <v>3.1309999999999998</v>
      </c>
      <c r="F1130" s="11">
        <v>101.54900000000001</v>
      </c>
      <c r="G1130" s="11">
        <v>27.4</v>
      </c>
      <c r="H1130" s="1" t="s">
        <v>0</v>
      </c>
      <c r="I1130" t="s">
        <v>6</v>
      </c>
      <c r="J1130" t="s">
        <v>6</v>
      </c>
      <c r="K1130">
        <v>24.8</v>
      </c>
      <c r="L1130">
        <v>28.5</v>
      </c>
      <c r="M1130" t="str">
        <f t="shared" si="71"/>
        <v/>
      </c>
    </row>
    <row r="1131" spans="1:13" x14ac:dyDescent="0.2">
      <c r="A1131" s="9">
        <v>43866</v>
      </c>
      <c r="B1131">
        <f t="shared" si="68"/>
        <v>5</v>
      </c>
      <c r="C1131">
        <f t="shared" si="69"/>
        <v>2</v>
      </c>
      <c r="D1131">
        <f t="shared" si="70"/>
        <v>2020</v>
      </c>
      <c r="E1131" s="11">
        <v>3.1309999999999998</v>
      </c>
      <c r="F1131" s="11">
        <v>101.54900000000001</v>
      </c>
      <c r="G1131" s="11">
        <v>27.4</v>
      </c>
      <c r="H1131" s="1" t="s">
        <v>0</v>
      </c>
      <c r="I1131" t="s">
        <v>6</v>
      </c>
      <c r="J1131" t="s">
        <v>6</v>
      </c>
      <c r="K1131">
        <v>24.5</v>
      </c>
      <c r="L1131">
        <v>28.3</v>
      </c>
      <c r="M1131" t="str">
        <f t="shared" si="71"/>
        <v/>
      </c>
    </row>
    <row r="1132" spans="1:13" x14ac:dyDescent="0.2">
      <c r="A1132" s="9">
        <v>43867</v>
      </c>
      <c r="B1132">
        <f t="shared" si="68"/>
        <v>6</v>
      </c>
      <c r="C1132">
        <f t="shared" si="69"/>
        <v>2</v>
      </c>
      <c r="D1132">
        <f t="shared" si="70"/>
        <v>2020</v>
      </c>
      <c r="E1132" s="11">
        <v>3.1309999999999998</v>
      </c>
      <c r="F1132" s="11">
        <v>101.54900000000001</v>
      </c>
      <c r="G1132" s="11">
        <v>27.4</v>
      </c>
      <c r="H1132" s="1" t="s">
        <v>0</v>
      </c>
      <c r="I1132" t="s">
        <v>6</v>
      </c>
      <c r="J1132" t="s">
        <v>6</v>
      </c>
      <c r="K1132">
        <v>24.5</v>
      </c>
      <c r="L1132">
        <v>29.1</v>
      </c>
      <c r="M1132" t="str">
        <f t="shared" si="71"/>
        <v/>
      </c>
    </row>
    <row r="1133" spans="1:13" x14ac:dyDescent="0.2">
      <c r="A1133" s="9">
        <v>43868</v>
      </c>
      <c r="B1133">
        <f t="shared" si="68"/>
        <v>7</v>
      </c>
      <c r="C1133">
        <f t="shared" si="69"/>
        <v>2</v>
      </c>
      <c r="D1133">
        <f t="shared" si="70"/>
        <v>2020</v>
      </c>
      <c r="E1133" s="11">
        <v>3.1309999999999998</v>
      </c>
      <c r="F1133" s="11">
        <v>101.54900000000001</v>
      </c>
      <c r="G1133" s="11">
        <v>27.4</v>
      </c>
      <c r="H1133" s="1" t="s">
        <v>0</v>
      </c>
      <c r="I1133" t="s">
        <v>6</v>
      </c>
      <c r="J1133" t="s">
        <v>6</v>
      </c>
      <c r="K1133">
        <v>24.7</v>
      </c>
      <c r="L1133">
        <v>28</v>
      </c>
      <c r="M1133" t="str">
        <f t="shared" si="71"/>
        <v/>
      </c>
    </row>
    <row r="1134" spans="1:13" x14ac:dyDescent="0.2">
      <c r="A1134" s="9">
        <v>43869</v>
      </c>
      <c r="B1134">
        <f t="shared" si="68"/>
        <v>8</v>
      </c>
      <c r="C1134">
        <f t="shared" si="69"/>
        <v>2</v>
      </c>
      <c r="D1134">
        <f t="shared" si="70"/>
        <v>2020</v>
      </c>
      <c r="E1134" s="11">
        <v>3.1309999999999998</v>
      </c>
      <c r="F1134" s="11">
        <v>101.54900000000001</v>
      </c>
      <c r="G1134" s="11">
        <v>27.4</v>
      </c>
      <c r="H1134" s="1" t="s">
        <v>0</v>
      </c>
      <c r="I1134" t="s">
        <v>6</v>
      </c>
      <c r="J1134" t="s">
        <v>6</v>
      </c>
      <c r="K1134">
        <v>24.8</v>
      </c>
      <c r="L1134">
        <v>28.4</v>
      </c>
      <c r="M1134" t="str">
        <f t="shared" si="71"/>
        <v/>
      </c>
    </row>
    <row r="1135" spans="1:13" x14ac:dyDescent="0.2">
      <c r="A1135" s="9">
        <v>43870</v>
      </c>
      <c r="B1135">
        <f t="shared" si="68"/>
        <v>9</v>
      </c>
      <c r="C1135">
        <f t="shared" si="69"/>
        <v>2</v>
      </c>
      <c r="D1135">
        <f t="shared" si="70"/>
        <v>2020</v>
      </c>
      <c r="E1135" s="11">
        <v>3.1309999999999998</v>
      </c>
      <c r="F1135" s="11">
        <v>101.54900000000001</v>
      </c>
      <c r="G1135" s="11">
        <v>27.4</v>
      </c>
      <c r="H1135" s="1" t="s">
        <v>0</v>
      </c>
      <c r="I1135" t="s">
        <v>6</v>
      </c>
      <c r="J1135" t="s">
        <v>6</v>
      </c>
      <c r="K1135" t="s">
        <v>6</v>
      </c>
      <c r="L1135">
        <v>27.5</v>
      </c>
      <c r="M1135" t="str">
        <f t="shared" si="71"/>
        <v/>
      </c>
    </row>
    <row r="1136" spans="1:13" x14ac:dyDescent="0.2">
      <c r="A1136" s="9">
        <v>43871</v>
      </c>
      <c r="B1136">
        <f t="shared" si="68"/>
        <v>10</v>
      </c>
      <c r="C1136">
        <f t="shared" si="69"/>
        <v>2</v>
      </c>
      <c r="D1136">
        <f t="shared" si="70"/>
        <v>2020</v>
      </c>
      <c r="E1136" s="11">
        <v>3.1309999999999998</v>
      </c>
      <c r="F1136" s="11">
        <v>101.54900000000001</v>
      </c>
      <c r="G1136" s="11">
        <v>27.4</v>
      </c>
      <c r="H1136" s="1" t="s">
        <v>0</v>
      </c>
      <c r="I1136" t="s">
        <v>6</v>
      </c>
      <c r="J1136" t="s">
        <v>6</v>
      </c>
      <c r="K1136">
        <v>24</v>
      </c>
      <c r="L1136">
        <v>27.6</v>
      </c>
      <c r="M1136" t="str">
        <f t="shared" si="71"/>
        <v/>
      </c>
    </row>
    <row r="1137" spans="1:13" x14ac:dyDescent="0.2">
      <c r="A1137" s="9">
        <v>43872</v>
      </c>
      <c r="B1137">
        <f t="shared" si="68"/>
        <v>11</v>
      </c>
      <c r="C1137">
        <f t="shared" si="69"/>
        <v>2</v>
      </c>
      <c r="D1137">
        <f t="shared" si="70"/>
        <v>2020</v>
      </c>
      <c r="E1137" s="11">
        <v>3.1309999999999998</v>
      </c>
      <c r="F1137" s="11">
        <v>101.54900000000001</v>
      </c>
      <c r="G1137" s="11">
        <v>27.4</v>
      </c>
      <c r="H1137" s="1" t="s">
        <v>0</v>
      </c>
      <c r="I1137" t="s">
        <v>6</v>
      </c>
      <c r="J1137" t="s">
        <v>6</v>
      </c>
      <c r="K1137">
        <v>24.6</v>
      </c>
      <c r="L1137">
        <v>28.9</v>
      </c>
      <c r="M1137" t="str">
        <f t="shared" si="71"/>
        <v/>
      </c>
    </row>
    <row r="1138" spans="1:13" x14ac:dyDescent="0.2">
      <c r="A1138" s="9">
        <v>43873</v>
      </c>
      <c r="B1138">
        <f t="shared" si="68"/>
        <v>12</v>
      </c>
      <c r="C1138">
        <f t="shared" si="69"/>
        <v>2</v>
      </c>
      <c r="D1138">
        <f t="shared" si="70"/>
        <v>2020</v>
      </c>
      <c r="E1138" s="11">
        <v>3.1309999999999998</v>
      </c>
      <c r="F1138" s="11">
        <v>101.54900000000001</v>
      </c>
      <c r="G1138" s="11">
        <v>27.4</v>
      </c>
      <c r="H1138" s="1" t="s">
        <v>0</v>
      </c>
      <c r="I1138" t="s">
        <v>6</v>
      </c>
      <c r="J1138" t="s">
        <v>6</v>
      </c>
      <c r="K1138">
        <v>25.6</v>
      </c>
      <c r="L1138">
        <v>29.6</v>
      </c>
      <c r="M1138" t="str">
        <f t="shared" si="71"/>
        <v/>
      </c>
    </row>
    <row r="1139" spans="1:13" x14ac:dyDescent="0.2">
      <c r="A1139" s="9">
        <v>43874</v>
      </c>
      <c r="B1139">
        <f t="shared" si="68"/>
        <v>13</v>
      </c>
      <c r="C1139">
        <f t="shared" si="69"/>
        <v>2</v>
      </c>
      <c r="D1139">
        <f t="shared" si="70"/>
        <v>2020</v>
      </c>
      <c r="E1139" s="11">
        <v>3.1309999999999998</v>
      </c>
      <c r="F1139" s="11">
        <v>101.54900000000001</v>
      </c>
      <c r="G1139" s="11">
        <v>27.4</v>
      </c>
      <c r="H1139" s="1" t="s">
        <v>0</v>
      </c>
      <c r="I1139" t="s">
        <v>6</v>
      </c>
      <c r="J1139" t="s">
        <v>6</v>
      </c>
      <c r="K1139" t="s">
        <v>6</v>
      </c>
      <c r="L1139">
        <v>28.3</v>
      </c>
      <c r="M1139" t="str">
        <f t="shared" si="71"/>
        <v/>
      </c>
    </row>
    <row r="1140" spans="1:13" x14ac:dyDescent="0.2">
      <c r="A1140" s="9">
        <v>43875</v>
      </c>
      <c r="B1140">
        <f t="shared" si="68"/>
        <v>14</v>
      </c>
      <c r="C1140">
        <f t="shared" si="69"/>
        <v>2</v>
      </c>
      <c r="D1140">
        <f t="shared" si="70"/>
        <v>2020</v>
      </c>
      <c r="E1140" s="11">
        <v>3.1309999999999998</v>
      </c>
      <c r="F1140" s="11">
        <v>101.54900000000001</v>
      </c>
      <c r="G1140" s="11">
        <v>27.4</v>
      </c>
      <c r="H1140" s="1" t="s">
        <v>0</v>
      </c>
      <c r="I1140" t="s">
        <v>6</v>
      </c>
      <c r="J1140" t="s">
        <v>6</v>
      </c>
      <c r="K1140" t="s">
        <v>6</v>
      </c>
      <c r="L1140">
        <v>27.9</v>
      </c>
      <c r="M1140" t="str">
        <f t="shared" si="71"/>
        <v/>
      </c>
    </row>
    <row r="1141" spans="1:13" x14ac:dyDescent="0.2">
      <c r="A1141" s="9">
        <v>43876</v>
      </c>
      <c r="B1141">
        <f t="shared" si="68"/>
        <v>15</v>
      </c>
      <c r="C1141">
        <f t="shared" si="69"/>
        <v>2</v>
      </c>
      <c r="D1141">
        <f t="shared" si="70"/>
        <v>2020</v>
      </c>
      <c r="E1141" s="11">
        <v>3.1309999999999998</v>
      </c>
      <c r="F1141" s="11">
        <v>101.54900000000001</v>
      </c>
      <c r="G1141" s="11">
        <v>27.4</v>
      </c>
      <c r="H1141" s="1" t="s">
        <v>0</v>
      </c>
      <c r="I1141" t="s">
        <v>6</v>
      </c>
      <c r="J1141" t="s">
        <v>6</v>
      </c>
      <c r="K1141">
        <v>25</v>
      </c>
      <c r="L1141">
        <v>27.6</v>
      </c>
      <c r="M1141" t="str">
        <f t="shared" si="71"/>
        <v/>
      </c>
    </row>
    <row r="1142" spans="1:13" x14ac:dyDescent="0.2">
      <c r="A1142" s="9">
        <v>43877</v>
      </c>
      <c r="B1142">
        <f t="shared" si="68"/>
        <v>16</v>
      </c>
      <c r="C1142">
        <f t="shared" si="69"/>
        <v>2</v>
      </c>
      <c r="D1142">
        <f t="shared" si="70"/>
        <v>2020</v>
      </c>
      <c r="E1142" s="11">
        <v>3.1309999999999998</v>
      </c>
      <c r="F1142" s="11">
        <v>101.54900000000001</v>
      </c>
      <c r="G1142" s="11">
        <v>27.4</v>
      </c>
      <c r="H1142" s="1" t="s">
        <v>0</v>
      </c>
      <c r="I1142" t="s">
        <v>6</v>
      </c>
      <c r="J1142" t="s">
        <v>6</v>
      </c>
      <c r="K1142">
        <v>24.6</v>
      </c>
      <c r="L1142">
        <v>28.1</v>
      </c>
      <c r="M1142" t="str">
        <f t="shared" si="71"/>
        <v/>
      </c>
    </row>
    <row r="1143" spans="1:13" x14ac:dyDescent="0.2">
      <c r="A1143" s="9">
        <v>43878</v>
      </c>
      <c r="B1143">
        <f t="shared" si="68"/>
        <v>17</v>
      </c>
      <c r="C1143">
        <f t="shared" si="69"/>
        <v>2</v>
      </c>
      <c r="D1143">
        <f t="shared" si="70"/>
        <v>2020</v>
      </c>
      <c r="E1143" s="11">
        <v>3.1309999999999998</v>
      </c>
      <c r="F1143" s="11">
        <v>101.54900000000001</v>
      </c>
      <c r="G1143" s="11">
        <v>27.4</v>
      </c>
      <c r="H1143" s="1" t="s">
        <v>0</v>
      </c>
      <c r="I1143" t="s">
        <v>6</v>
      </c>
      <c r="J1143" t="s">
        <v>6</v>
      </c>
      <c r="K1143" t="s">
        <v>6</v>
      </c>
      <c r="L1143">
        <v>28.9</v>
      </c>
      <c r="M1143" t="str">
        <f t="shared" si="71"/>
        <v/>
      </c>
    </row>
    <row r="1144" spans="1:13" x14ac:dyDescent="0.2">
      <c r="A1144" s="9">
        <v>43879</v>
      </c>
      <c r="B1144">
        <f t="shared" si="68"/>
        <v>18</v>
      </c>
      <c r="C1144">
        <f t="shared" si="69"/>
        <v>2</v>
      </c>
      <c r="D1144">
        <f t="shared" si="70"/>
        <v>2020</v>
      </c>
      <c r="E1144" s="11">
        <v>3.1309999999999998</v>
      </c>
      <c r="F1144" s="11">
        <v>101.54900000000001</v>
      </c>
      <c r="G1144" s="11">
        <v>27.4</v>
      </c>
      <c r="H1144" s="1" t="s">
        <v>0</v>
      </c>
      <c r="I1144">
        <v>3</v>
      </c>
      <c r="J1144" t="s">
        <v>6</v>
      </c>
      <c r="K1144">
        <v>24.7</v>
      </c>
      <c r="L1144">
        <v>26.6</v>
      </c>
      <c r="M1144">
        <f t="shared" si="71"/>
        <v>1</v>
      </c>
    </row>
    <row r="1145" spans="1:13" x14ac:dyDescent="0.2">
      <c r="A1145" s="9">
        <v>43880</v>
      </c>
      <c r="B1145">
        <f t="shared" si="68"/>
        <v>19</v>
      </c>
      <c r="C1145">
        <f t="shared" si="69"/>
        <v>2</v>
      </c>
      <c r="D1145">
        <f t="shared" si="70"/>
        <v>2020</v>
      </c>
      <c r="E1145" s="11">
        <v>3.1309999999999998</v>
      </c>
      <c r="F1145" s="11">
        <v>101.54900000000001</v>
      </c>
      <c r="G1145" s="11">
        <v>27.4</v>
      </c>
      <c r="H1145" s="1" t="s">
        <v>0</v>
      </c>
      <c r="I1145">
        <v>2</v>
      </c>
      <c r="J1145" t="s">
        <v>6</v>
      </c>
      <c r="K1145" t="s">
        <v>6</v>
      </c>
      <c r="L1145">
        <v>28.2</v>
      </c>
      <c r="M1145">
        <f t="shared" si="71"/>
        <v>1</v>
      </c>
    </row>
    <row r="1146" spans="1:13" x14ac:dyDescent="0.2">
      <c r="A1146" s="9">
        <v>43881</v>
      </c>
      <c r="B1146">
        <f t="shared" si="68"/>
        <v>20</v>
      </c>
      <c r="C1146">
        <f t="shared" si="69"/>
        <v>2</v>
      </c>
      <c r="D1146">
        <f t="shared" si="70"/>
        <v>2020</v>
      </c>
      <c r="E1146" s="11">
        <v>3.1309999999999998</v>
      </c>
      <c r="F1146" s="11">
        <v>101.54900000000001</v>
      </c>
      <c r="G1146" s="11">
        <v>27.4</v>
      </c>
      <c r="H1146" s="1" t="s">
        <v>0</v>
      </c>
      <c r="I1146">
        <v>0</v>
      </c>
      <c r="J1146" t="s">
        <v>6</v>
      </c>
      <c r="K1146" t="s">
        <v>6</v>
      </c>
      <c r="L1146">
        <v>29</v>
      </c>
      <c r="M1146">
        <f t="shared" si="71"/>
        <v>0</v>
      </c>
    </row>
    <row r="1147" spans="1:13" x14ac:dyDescent="0.2">
      <c r="A1147" s="9">
        <v>43882</v>
      </c>
      <c r="B1147">
        <f t="shared" si="68"/>
        <v>21</v>
      </c>
      <c r="C1147">
        <f t="shared" si="69"/>
        <v>2</v>
      </c>
      <c r="D1147">
        <f t="shared" si="70"/>
        <v>2020</v>
      </c>
      <c r="E1147" s="11">
        <v>3.1309999999999998</v>
      </c>
      <c r="F1147" s="11">
        <v>101.54900000000001</v>
      </c>
      <c r="G1147" s="11">
        <v>27.4</v>
      </c>
      <c r="H1147" s="1" t="s">
        <v>0</v>
      </c>
      <c r="I1147" t="s">
        <v>6</v>
      </c>
      <c r="J1147" t="s">
        <v>6</v>
      </c>
      <c r="K1147">
        <v>24.4</v>
      </c>
      <c r="L1147">
        <v>29.7</v>
      </c>
      <c r="M1147" t="str">
        <f t="shared" si="71"/>
        <v/>
      </c>
    </row>
    <row r="1148" spans="1:13" x14ac:dyDescent="0.2">
      <c r="A1148" s="9">
        <v>43883</v>
      </c>
      <c r="B1148">
        <f t="shared" si="68"/>
        <v>22</v>
      </c>
      <c r="C1148">
        <f t="shared" si="69"/>
        <v>2</v>
      </c>
      <c r="D1148">
        <f t="shared" si="70"/>
        <v>2020</v>
      </c>
      <c r="E1148" s="11">
        <v>3.1309999999999998</v>
      </c>
      <c r="F1148" s="11">
        <v>101.54900000000001</v>
      </c>
      <c r="G1148" s="11">
        <v>27.4</v>
      </c>
      <c r="H1148" s="1" t="s">
        <v>0</v>
      </c>
      <c r="I1148" t="s">
        <v>6</v>
      </c>
      <c r="J1148" t="s">
        <v>6</v>
      </c>
      <c r="K1148">
        <v>24.6</v>
      </c>
      <c r="L1148">
        <v>29.6</v>
      </c>
      <c r="M1148" t="str">
        <f t="shared" si="71"/>
        <v/>
      </c>
    </row>
    <row r="1149" spans="1:13" x14ac:dyDescent="0.2">
      <c r="A1149" s="9">
        <v>43884</v>
      </c>
      <c r="B1149">
        <f t="shared" si="68"/>
        <v>23</v>
      </c>
      <c r="C1149">
        <f t="shared" si="69"/>
        <v>2</v>
      </c>
      <c r="D1149">
        <f t="shared" si="70"/>
        <v>2020</v>
      </c>
      <c r="E1149" s="11">
        <v>3.1309999999999998</v>
      </c>
      <c r="F1149" s="11">
        <v>101.54900000000001</v>
      </c>
      <c r="G1149" s="11">
        <v>27.4</v>
      </c>
      <c r="H1149" s="1" t="s">
        <v>0</v>
      </c>
      <c r="I1149" t="s">
        <v>6</v>
      </c>
      <c r="J1149" t="s">
        <v>6</v>
      </c>
      <c r="K1149" t="s">
        <v>6</v>
      </c>
      <c r="L1149">
        <v>29.3</v>
      </c>
      <c r="M1149" t="str">
        <f t="shared" si="71"/>
        <v/>
      </c>
    </row>
    <row r="1150" spans="1:13" x14ac:dyDescent="0.2">
      <c r="A1150" s="9">
        <v>43885</v>
      </c>
      <c r="B1150">
        <f t="shared" si="68"/>
        <v>24</v>
      </c>
      <c r="C1150">
        <f t="shared" si="69"/>
        <v>2</v>
      </c>
      <c r="D1150">
        <f t="shared" si="70"/>
        <v>2020</v>
      </c>
      <c r="E1150" s="11">
        <v>3.1309999999999998</v>
      </c>
      <c r="F1150" s="11">
        <v>101.54900000000001</v>
      </c>
      <c r="G1150" s="11">
        <v>27.4</v>
      </c>
      <c r="H1150" s="1" t="s">
        <v>0</v>
      </c>
      <c r="I1150" t="s">
        <v>6</v>
      </c>
      <c r="J1150" t="s">
        <v>6</v>
      </c>
      <c r="K1150">
        <v>24.7</v>
      </c>
      <c r="L1150">
        <v>29.7</v>
      </c>
      <c r="M1150" t="str">
        <f t="shared" si="71"/>
        <v/>
      </c>
    </row>
    <row r="1151" spans="1:13" x14ac:dyDescent="0.2">
      <c r="A1151" s="9">
        <v>43886</v>
      </c>
      <c r="B1151">
        <f t="shared" si="68"/>
        <v>25</v>
      </c>
      <c r="C1151">
        <f t="shared" si="69"/>
        <v>2</v>
      </c>
      <c r="D1151">
        <f t="shared" si="70"/>
        <v>2020</v>
      </c>
      <c r="E1151" s="11">
        <v>3.1309999999999998</v>
      </c>
      <c r="F1151" s="11">
        <v>101.54900000000001</v>
      </c>
      <c r="G1151" s="11">
        <v>27.4</v>
      </c>
      <c r="H1151" s="1" t="s">
        <v>0</v>
      </c>
      <c r="I1151" t="s">
        <v>6</v>
      </c>
      <c r="J1151" t="s">
        <v>6</v>
      </c>
      <c r="K1151">
        <v>24.9</v>
      </c>
      <c r="L1151">
        <v>29.3</v>
      </c>
      <c r="M1151" t="str">
        <f t="shared" si="71"/>
        <v/>
      </c>
    </row>
    <row r="1152" spans="1:13" x14ac:dyDescent="0.2">
      <c r="A1152" s="9">
        <v>43887</v>
      </c>
      <c r="B1152">
        <f t="shared" si="68"/>
        <v>26</v>
      </c>
      <c r="C1152">
        <f t="shared" si="69"/>
        <v>2</v>
      </c>
      <c r="D1152">
        <f t="shared" si="70"/>
        <v>2020</v>
      </c>
      <c r="E1152" s="11">
        <v>3.1309999999999998</v>
      </c>
      <c r="F1152" s="11">
        <v>101.54900000000001</v>
      </c>
      <c r="G1152" s="11">
        <v>27.4</v>
      </c>
      <c r="H1152" s="1" t="s">
        <v>0</v>
      </c>
      <c r="I1152" t="s">
        <v>6</v>
      </c>
      <c r="J1152" t="s">
        <v>6</v>
      </c>
      <c r="K1152" t="s">
        <v>6</v>
      </c>
      <c r="L1152">
        <v>28.4</v>
      </c>
      <c r="M1152" t="str">
        <f t="shared" si="71"/>
        <v/>
      </c>
    </row>
    <row r="1153" spans="1:13" x14ac:dyDescent="0.2">
      <c r="A1153" s="9">
        <v>43888</v>
      </c>
      <c r="B1153">
        <f t="shared" si="68"/>
        <v>27</v>
      </c>
      <c r="C1153">
        <f t="shared" si="69"/>
        <v>2</v>
      </c>
      <c r="D1153">
        <f t="shared" si="70"/>
        <v>2020</v>
      </c>
      <c r="E1153" s="11">
        <v>3.1309999999999998</v>
      </c>
      <c r="F1153" s="11">
        <v>101.54900000000001</v>
      </c>
      <c r="G1153" s="11">
        <v>27.4</v>
      </c>
      <c r="H1153" s="1" t="s">
        <v>0</v>
      </c>
      <c r="I1153" t="s">
        <v>6</v>
      </c>
      <c r="J1153" t="s">
        <v>6</v>
      </c>
      <c r="K1153">
        <v>24.3</v>
      </c>
      <c r="L1153">
        <v>29.8</v>
      </c>
      <c r="M1153" t="str">
        <f t="shared" si="71"/>
        <v/>
      </c>
    </row>
    <row r="1154" spans="1:13" x14ac:dyDescent="0.2">
      <c r="A1154" s="9">
        <v>43889</v>
      </c>
      <c r="B1154">
        <f t="shared" si="68"/>
        <v>28</v>
      </c>
      <c r="C1154">
        <f t="shared" si="69"/>
        <v>2</v>
      </c>
      <c r="D1154">
        <f t="shared" si="70"/>
        <v>2020</v>
      </c>
      <c r="E1154" s="11">
        <v>3.1309999999999998</v>
      </c>
      <c r="F1154" s="11">
        <v>101.54900000000001</v>
      </c>
      <c r="G1154" s="11">
        <v>27.4</v>
      </c>
      <c r="H1154" s="1" t="s">
        <v>0</v>
      </c>
      <c r="I1154" t="s">
        <v>6</v>
      </c>
      <c r="J1154" t="s">
        <v>6</v>
      </c>
      <c r="K1154" t="s">
        <v>6</v>
      </c>
      <c r="L1154">
        <v>30.2</v>
      </c>
      <c r="M1154" t="str">
        <f t="shared" si="71"/>
        <v/>
      </c>
    </row>
    <row r="1155" spans="1:13" x14ac:dyDescent="0.2">
      <c r="A1155" s="9">
        <v>43890</v>
      </c>
      <c r="B1155">
        <f t="shared" ref="B1155:B1218" si="72">DAY(A1155)</f>
        <v>29</v>
      </c>
      <c r="C1155">
        <f t="shared" ref="C1155:C1218" si="73">MONTH(A1155)</f>
        <v>2</v>
      </c>
      <c r="D1155">
        <f t="shared" ref="D1155:D1218" si="74">YEAR(A1155)</f>
        <v>2020</v>
      </c>
      <c r="E1155" s="11">
        <v>3.1309999999999998</v>
      </c>
      <c r="F1155" s="11">
        <v>101.54900000000001</v>
      </c>
      <c r="G1155" s="11">
        <v>27.4</v>
      </c>
      <c r="H1155" s="1" t="s">
        <v>0</v>
      </c>
      <c r="I1155" t="s">
        <v>6</v>
      </c>
      <c r="J1155" t="s">
        <v>6</v>
      </c>
      <c r="K1155">
        <v>25.3</v>
      </c>
      <c r="L1155">
        <v>30.4</v>
      </c>
      <c r="M1155" t="str">
        <f t="shared" ref="M1155:M1218" si="75">IF(ISNUMBER(I1155), IF(I1155&gt;0, 1, 0), "")</f>
        <v/>
      </c>
    </row>
    <row r="1156" spans="1:13" x14ac:dyDescent="0.2">
      <c r="A1156" s="9">
        <v>43891</v>
      </c>
      <c r="B1156">
        <f t="shared" si="72"/>
        <v>1</v>
      </c>
      <c r="C1156">
        <f t="shared" si="73"/>
        <v>3</v>
      </c>
      <c r="D1156">
        <f t="shared" si="74"/>
        <v>2020</v>
      </c>
      <c r="E1156" s="11">
        <v>3.1309999999999998</v>
      </c>
      <c r="F1156" s="11">
        <v>101.54900000000001</v>
      </c>
      <c r="G1156" s="11">
        <v>27.4</v>
      </c>
      <c r="H1156" s="1" t="s">
        <v>0</v>
      </c>
      <c r="I1156" t="s">
        <v>6</v>
      </c>
      <c r="J1156" t="s">
        <v>6</v>
      </c>
      <c r="K1156">
        <v>25.5</v>
      </c>
      <c r="L1156">
        <v>28.7</v>
      </c>
      <c r="M1156" t="str">
        <f t="shared" si="75"/>
        <v/>
      </c>
    </row>
    <row r="1157" spans="1:13" x14ac:dyDescent="0.2">
      <c r="A1157" s="9">
        <v>43892</v>
      </c>
      <c r="B1157">
        <f t="shared" si="72"/>
        <v>2</v>
      </c>
      <c r="C1157">
        <f t="shared" si="73"/>
        <v>3</v>
      </c>
      <c r="D1157">
        <f t="shared" si="74"/>
        <v>2020</v>
      </c>
      <c r="E1157" s="11">
        <v>3.1309999999999998</v>
      </c>
      <c r="F1157" s="11">
        <v>101.54900000000001</v>
      </c>
      <c r="G1157" s="11">
        <v>27.4</v>
      </c>
      <c r="H1157" s="1" t="s">
        <v>0</v>
      </c>
      <c r="I1157" t="s">
        <v>6</v>
      </c>
      <c r="J1157" t="s">
        <v>6</v>
      </c>
      <c r="K1157" t="s">
        <v>6</v>
      </c>
      <c r="L1157">
        <v>29.3</v>
      </c>
      <c r="M1157" t="str">
        <f t="shared" si="75"/>
        <v/>
      </c>
    </row>
    <row r="1158" spans="1:13" x14ac:dyDescent="0.2">
      <c r="A1158" s="9">
        <v>43893</v>
      </c>
      <c r="B1158">
        <f t="shared" si="72"/>
        <v>3</v>
      </c>
      <c r="C1158">
        <f t="shared" si="73"/>
        <v>3</v>
      </c>
      <c r="D1158">
        <f t="shared" si="74"/>
        <v>2020</v>
      </c>
      <c r="E1158" s="11">
        <v>3.1309999999999998</v>
      </c>
      <c r="F1158" s="11">
        <v>101.54900000000001</v>
      </c>
      <c r="G1158" s="11">
        <v>27.4</v>
      </c>
      <c r="H1158" s="1" t="s">
        <v>0</v>
      </c>
      <c r="I1158">
        <v>47</v>
      </c>
      <c r="J1158" t="s">
        <v>6</v>
      </c>
      <c r="K1158">
        <v>24.8</v>
      </c>
      <c r="L1158">
        <v>28.9</v>
      </c>
      <c r="M1158">
        <f t="shared" si="75"/>
        <v>1</v>
      </c>
    </row>
    <row r="1159" spans="1:13" x14ac:dyDescent="0.2">
      <c r="A1159" s="9">
        <v>43894</v>
      </c>
      <c r="B1159">
        <f t="shared" si="72"/>
        <v>4</v>
      </c>
      <c r="C1159">
        <f t="shared" si="73"/>
        <v>3</v>
      </c>
      <c r="D1159">
        <f t="shared" si="74"/>
        <v>2020</v>
      </c>
      <c r="E1159" s="11">
        <v>3.1309999999999998</v>
      </c>
      <c r="F1159" s="11">
        <v>101.54900000000001</v>
      </c>
      <c r="G1159" s="11">
        <v>27.4</v>
      </c>
      <c r="H1159" s="1" t="s">
        <v>0</v>
      </c>
      <c r="I1159">
        <v>0</v>
      </c>
      <c r="J1159" t="s">
        <v>6</v>
      </c>
      <c r="K1159">
        <v>25.4</v>
      </c>
      <c r="L1159">
        <v>30.5</v>
      </c>
      <c r="M1159">
        <f t="shared" si="75"/>
        <v>0</v>
      </c>
    </row>
    <row r="1160" spans="1:13" x14ac:dyDescent="0.2">
      <c r="A1160" s="9">
        <v>43895</v>
      </c>
      <c r="B1160">
        <f t="shared" si="72"/>
        <v>5</v>
      </c>
      <c r="C1160">
        <f t="shared" si="73"/>
        <v>3</v>
      </c>
      <c r="D1160">
        <f t="shared" si="74"/>
        <v>2020</v>
      </c>
      <c r="E1160" s="11">
        <v>3.1309999999999998</v>
      </c>
      <c r="F1160" s="11">
        <v>101.54900000000001</v>
      </c>
      <c r="G1160" s="11">
        <v>27.4</v>
      </c>
      <c r="H1160" s="1" t="s">
        <v>0</v>
      </c>
      <c r="I1160" t="s">
        <v>6</v>
      </c>
      <c r="J1160" t="s">
        <v>6</v>
      </c>
      <c r="K1160" t="s">
        <v>6</v>
      </c>
      <c r="L1160">
        <v>27.8</v>
      </c>
      <c r="M1160" t="str">
        <f t="shared" si="75"/>
        <v/>
      </c>
    </row>
    <row r="1161" spans="1:13" x14ac:dyDescent="0.2">
      <c r="A1161" s="9">
        <v>43896</v>
      </c>
      <c r="B1161">
        <f t="shared" si="72"/>
        <v>6</v>
      </c>
      <c r="C1161">
        <f t="shared" si="73"/>
        <v>3</v>
      </c>
      <c r="D1161">
        <f t="shared" si="74"/>
        <v>2020</v>
      </c>
      <c r="E1161" s="11">
        <v>3.1309999999999998</v>
      </c>
      <c r="F1161" s="11">
        <v>101.54900000000001</v>
      </c>
      <c r="G1161" s="11">
        <v>27.4</v>
      </c>
      <c r="H1161" s="1" t="s">
        <v>0</v>
      </c>
      <c r="I1161" t="s">
        <v>6</v>
      </c>
      <c r="J1161" t="s">
        <v>6</v>
      </c>
      <c r="K1161">
        <v>25</v>
      </c>
      <c r="L1161">
        <v>27.6</v>
      </c>
      <c r="M1161" t="str">
        <f t="shared" si="75"/>
        <v/>
      </c>
    </row>
    <row r="1162" spans="1:13" x14ac:dyDescent="0.2">
      <c r="A1162" s="9">
        <v>43897</v>
      </c>
      <c r="B1162">
        <f t="shared" si="72"/>
        <v>7</v>
      </c>
      <c r="C1162">
        <f t="shared" si="73"/>
        <v>3</v>
      </c>
      <c r="D1162">
        <f t="shared" si="74"/>
        <v>2020</v>
      </c>
      <c r="E1162" s="11">
        <v>3.1309999999999998</v>
      </c>
      <c r="F1162" s="11">
        <v>101.54900000000001</v>
      </c>
      <c r="G1162" s="11">
        <v>27.4</v>
      </c>
      <c r="H1162" s="1" t="s">
        <v>0</v>
      </c>
      <c r="I1162">
        <v>2</v>
      </c>
      <c r="J1162" t="s">
        <v>6</v>
      </c>
      <c r="K1162">
        <v>24.5</v>
      </c>
      <c r="L1162">
        <v>27</v>
      </c>
      <c r="M1162">
        <f t="shared" si="75"/>
        <v>1</v>
      </c>
    </row>
    <row r="1163" spans="1:13" x14ac:dyDescent="0.2">
      <c r="A1163" s="9">
        <v>43898</v>
      </c>
      <c r="B1163">
        <f t="shared" si="72"/>
        <v>8</v>
      </c>
      <c r="C1163">
        <f t="shared" si="73"/>
        <v>3</v>
      </c>
      <c r="D1163">
        <f t="shared" si="74"/>
        <v>2020</v>
      </c>
      <c r="E1163" s="11">
        <v>3.1309999999999998</v>
      </c>
      <c r="F1163" s="11">
        <v>101.54900000000001</v>
      </c>
      <c r="G1163" s="11">
        <v>27.4</v>
      </c>
      <c r="H1163" s="1" t="s">
        <v>0</v>
      </c>
      <c r="I1163">
        <v>23.9</v>
      </c>
      <c r="J1163" t="s">
        <v>6</v>
      </c>
      <c r="K1163">
        <v>24.8</v>
      </c>
      <c r="L1163">
        <v>27.9</v>
      </c>
      <c r="M1163">
        <f t="shared" si="75"/>
        <v>1</v>
      </c>
    </row>
    <row r="1164" spans="1:13" x14ac:dyDescent="0.2">
      <c r="A1164" s="9">
        <v>43899</v>
      </c>
      <c r="B1164">
        <f t="shared" si="72"/>
        <v>9</v>
      </c>
      <c r="C1164">
        <f t="shared" si="73"/>
        <v>3</v>
      </c>
      <c r="D1164">
        <f t="shared" si="74"/>
        <v>2020</v>
      </c>
      <c r="E1164" s="11">
        <v>3.1309999999999998</v>
      </c>
      <c r="F1164" s="11">
        <v>101.54900000000001</v>
      </c>
      <c r="G1164" s="11">
        <v>27.4</v>
      </c>
      <c r="H1164" s="1" t="s">
        <v>0</v>
      </c>
      <c r="I1164">
        <v>6.1</v>
      </c>
      <c r="J1164" t="s">
        <v>6</v>
      </c>
      <c r="K1164">
        <v>25.3</v>
      </c>
      <c r="L1164">
        <v>30.2</v>
      </c>
      <c r="M1164">
        <f t="shared" si="75"/>
        <v>1</v>
      </c>
    </row>
    <row r="1165" spans="1:13" x14ac:dyDescent="0.2">
      <c r="A1165" s="9">
        <v>43900</v>
      </c>
      <c r="B1165">
        <f t="shared" si="72"/>
        <v>10</v>
      </c>
      <c r="C1165">
        <f t="shared" si="73"/>
        <v>3</v>
      </c>
      <c r="D1165">
        <f t="shared" si="74"/>
        <v>2020</v>
      </c>
      <c r="E1165" s="11">
        <v>3.1309999999999998</v>
      </c>
      <c r="F1165" s="11">
        <v>101.54900000000001</v>
      </c>
      <c r="G1165" s="11">
        <v>27.4</v>
      </c>
      <c r="H1165" s="1" t="s">
        <v>0</v>
      </c>
      <c r="I1165">
        <v>0</v>
      </c>
      <c r="J1165" t="s">
        <v>6</v>
      </c>
      <c r="K1165">
        <v>25.8</v>
      </c>
      <c r="L1165">
        <v>30.8</v>
      </c>
      <c r="M1165">
        <f t="shared" si="75"/>
        <v>0</v>
      </c>
    </row>
    <row r="1166" spans="1:13" x14ac:dyDescent="0.2">
      <c r="A1166" s="9">
        <v>43901</v>
      </c>
      <c r="B1166">
        <f t="shared" si="72"/>
        <v>11</v>
      </c>
      <c r="C1166">
        <f t="shared" si="73"/>
        <v>3</v>
      </c>
      <c r="D1166">
        <f t="shared" si="74"/>
        <v>2020</v>
      </c>
      <c r="E1166" s="11">
        <v>3.1309999999999998</v>
      </c>
      <c r="F1166" s="11">
        <v>101.54900000000001</v>
      </c>
      <c r="G1166" s="11">
        <v>27.4</v>
      </c>
      <c r="H1166" s="1" t="s">
        <v>0</v>
      </c>
      <c r="I1166" t="s">
        <v>6</v>
      </c>
      <c r="J1166" t="s">
        <v>6</v>
      </c>
      <c r="K1166" t="s">
        <v>6</v>
      </c>
      <c r="L1166">
        <v>29.4</v>
      </c>
      <c r="M1166" t="str">
        <f t="shared" si="75"/>
        <v/>
      </c>
    </row>
    <row r="1167" spans="1:13" x14ac:dyDescent="0.2">
      <c r="A1167" s="9">
        <v>43902</v>
      </c>
      <c r="B1167">
        <f t="shared" si="72"/>
        <v>12</v>
      </c>
      <c r="C1167">
        <f t="shared" si="73"/>
        <v>3</v>
      </c>
      <c r="D1167">
        <f t="shared" si="74"/>
        <v>2020</v>
      </c>
      <c r="E1167" s="11">
        <v>3.1309999999999998</v>
      </c>
      <c r="F1167" s="11">
        <v>101.54900000000001</v>
      </c>
      <c r="G1167" s="11">
        <v>27.4</v>
      </c>
      <c r="H1167" s="1" t="s">
        <v>0</v>
      </c>
      <c r="I1167" t="s">
        <v>6</v>
      </c>
      <c r="J1167" t="s">
        <v>6</v>
      </c>
      <c r="K1167">
        <v>23.7</v>
      </c>
      <c r="L1167">
        <v>28.4</v>
      </c>
      <c r="M1167" t="str">
        <f t="shared" si="75"/>
        <v/>
      </c>
    </row>
    <row r="1168" spans="1:13" x14ac:dyDescent="0.2">
      <c r="A1168" s="9">
        <v>43903</v>
      </c>
      <c r="B1168">
        <f t="shared" si="72"/>
        <v>13</v>
      </c>
      <c r="C1168">
        <f t="shared" si="73"/>
        <v>3</v>
      </c>
      <c r="D1168">
        <f t="shared" si="74"/>
        <v>2020</v>
      </c>
      <c r="E1168" s="11">
        <v>3.1309999999999998</v>
      </c>
      <c r="F1168" s="11">
        <v>101.54900000000001</v>
      </c>
      <c r="G1168" s="11">
        <v>27.4</v>
      </c>
      <c r="H1168" s="1" t="s">
        <v>0</v>
      </c>
      <c r="I1168" t="s">
        <v>6</v>
      </c>
      <c r="J1168" t="s">
        <v>6</v>
      </c>
      <c r="K1168">
        <v>26</v>
      </c>
      <c r="L1168">
        <v>29.3</v>
      </c>
      <c r="M1168" t="str">
        <f t="shared" si="75"/>
        <v/>
      </c>
    </row>
    <row r="1169" spans="1:13" x14ac:dyDescent="0.2">
      <c r="A1169" s="9">
        <v>43904</v>
      </c>
      <c r="B1169">
        <f t="shared" si="72"/>
        <v>14</v>
      </c>
      <c r="C1169">
        <f t="shared" si="73"/>
        <v>3</v>
      </c>
      <c r="D1169">
        <f t="shared" si="74"/>
        <v>2020</v>
      </c>
      <c r="E1169" s="11">
        <v>3.1309999999999998</v>
      </c>
      <c r="F1169" s="11">
        <v>101.54900000000001</v>
      </c>
      <c r="G1169" s="11">
        <v>27.4</v>
      </c>
      <c r="H1169" s="1" t="s">
        <v>0</v>
      </c>
      <c r="I1169" t="s">
        <v>6</v>
      </c>
      <c r="J1169" t="s">
        <v>6</v>
      </c>
      <c r="K1169" t="s">
        <v>6</v>
      </c>
      <c r="L1169">
        <v>29.7</v>
      </c>
      <c r="M1169" t="str">
        <f t="shared" si="75"/>
        <v/>
      </c>
    </row>
    <row r="1170" spans="1:13" x14ac:dyDescent="0.2">
      <c r="A1170" s="9">
        <v>43905</v>
      </c>
      <c r="B1170">
        <f t="shared" si="72"/>
        <v>15</v>
      </c>
      <c r="C1170">
        <f t="shared" si="73"/>
        <v>3</v>
      </c>
      <c r="D1170">
        <f t="shared" si="74"/>
        <v>2020</v>
      </c>
      <c r="E1170" s="11">
        <v>3.1309999999999998</v>
      </c>
      <c r="F1170" s="11">
        <v>101.54900000000001</v>
      </c>
      <c r="G1170" s="11">
        <v>27.4</v>
      </c>
      <c r="H1170" s="1" t="s">
        <v>0</v>
      </c>
      <c r="I1170" t="s">
        <v>6</v>
      </c>
      <c r="J1170" t="s">
        <v>6</v>
      </c>
      <c r="K1170" t="s">
        <v>6</v>
      </c>
      <c r="L1170">
        <v>28.8</v>
      </c>
      <c r="M1170" t="str">
        <f t="shared" si="75"/>
        <v/>
      </c>
    </row>
    <row r="1171" spans="1:13" x14ac:dyDescent="0.2">
      <c r="A1171" s="9">
        <v>43906</v>
      </c>
      <c r="B1171">
        <f t="shared" si="72"/>
        <v>16</v>
      </c>
      <c r="C1171">
        <f t="shared" si="73"/>
        <v>3</v>
      </c>
      <c r="D1171">
        <f t="shared" si="74"/>
        <v>2020</v>
      </c>
      <c r="E1171" s="11">
        <v>3.1309999999999998</v>
      </c>
      <c r="F1171" s="11">
        <v>101.54900000000001</v>
      </c>
      <c r="G1171" s="11">
        <v>27.4</v>
      </c>
      <c r="H1171" s="1" t="s">
        <v>0</v>
      </c>
      <c r="I1171" t="s">
        <v>6</v>
      </c>
      <c r="J1171" t="s">
        <v>6</v>
      </c>
      <c r="K1171">
        <v>25.4</v>
      </c>
      <c r="L1171">
        <v>30.8</v>
      </c>
      <c r="M1171" t="str">
        <f t="shared" si="75"/>
        <v/>
      </c>
    </row>
    <row r="1172" spans="1:13" x14ac:dyDescent="0.2">
      <c r="A1172" s="9">
        <v>43907</v>
      </c>
      <c r="B1172">
        <f t="shared" si="72"/>
        <v>17</v>
      </c>
      <c r="C1172">
        <f t="shared" si="73"/>
        <v>3</v>
      </c>
      <c r="D1172">
        <f t="shared" si="74"/>
        <v>2020</v>
      </c>
      <c r="E1172" s="11">
        <v>3.1309999999999998</v>
      </c>
      <c r="F1172" s="11">
        <v>101.54900000000001</v>
      </c>
      <c r="G1172" s="11">
        <v>27.4</v>
      </c>
      <c r="H1172" s="1" t="s">
        <v>0</v>
      </c>
      <c r="I1172" t="s">
        <v>6</v>
      </c>
      <c r="J1172" t="s">
        <v>6</v>
      </c>
      <c r="K1172">
        <v>25.8</v>
      </c>
      <c r="L1172">
        <v>30.8</v>
      </c>
      <c r="M1172" t="str">
        <f t="shared" si="75"/>
        <v/>
      </c>
    </row>
    <row r="1173" spans="1:13" x14ac:dyDescent="0.2">
      <c r="A1173" s="9">
        <v>43908</v>
      </c>
      <c r="B1173">
        <f t="shared" si="72"/>
        <v>18</v>
      </c>
      <c r="C1173">
        <f t="shared" si="73"/>
        <v>3</v>
      </c>
      <c r="D1173">
        <f t="shared" si="74"/>
        <v>2020</v>
      </c>
      <c r="E1173" s="11">
        <v>3.1309999999999998</v>
      </c>
      <c r="F1173" s="11">
        <v>101.54900000000001</v>
      </c>
      <c r="G1173" s="11">
        <v>27.4</v>
      </c>
      <c r="H1173" s="1" t="s">
        <v>0</v>
      </c>
      <c r="I1173" t="s">
        <v>6</v>
      </c>
      <c r="J1173" t="s">
        <v>6</v>
      </c>
      <c r="K1173" t="s">
        <v>6</v>
      </c>
      <c r="L1173">
        <v>29.4</v>
      </c>
      <c r="M1173" t="str">
        <f t="shared" si="75"/>
        <v/>
      </c>
    </row>
    <row r="1174" spans="1:13" x14ac:dyDescent="0.2">
      <c r="A1174" s="9">
        <v>43909</v>
      </c>
      <c r="B1174">
        <f t="shared" si="72"/>
        <v>19</v>
      </c>
      <c r="C1174">
        <f t="shared" si="73"/>
        <v>3</v>
      </c>
      <c r="D1174">
        <f t="shared" si="74"/>
        <v>2020</v>
      </c>
      <c r="E1174" s="11">
        <v>3.1309999999999998</v>
      </c>
      <c r="F1174" s="11">
        <v>101.54900000000001</v>
      </c>
      <c r="G1174" s="11">
        <v>27.4</v>
      </c>
      <c r="H1174" s="1" t="s">
        <v>0</v>
      </c>
      <c r="I1174" t="s">
        <v>6</v>
      </c>
      <c r="J1174" t="s">
        <v>6</v>
      </c>
      <c r="K1174" t="s">
        <v>6</v>
      </c>
      <c r="L1174">
        <v>28.7</v>
      </c>
      <c r="M1174" t="str">
        <f t="shared" si="75"/>
        <v/>
      </c>
    </row>
    <row r="1175" spans="1:13" x14ac:dyDescent="0.2">
      <c r="A1175" s="9">
        <v>43910</v>
      </c>
      <c r="B1175">
        <f t="shared" si="72"/>
        <v>20</v>
      </c>
      <c r="C1175">
        <f t="shared" si="73"/>
        <v>3</v>
      </c>
      <c r="D1175">
        <f t="shared" si="74"/>
        <v>2020</v>
      </c>
      <c r="E1175" s="11">
        <v>3.1309999999999998</v>
      </c>
      <c r="F1175" s="11">
        <v>101.54900000000001</v>
      </c>
      <c r="G1175" s="11">
        <v>27.4</v>
      </c>
      <c r="H1175" s="1" t="s">
        <v>0</v>
      </c>
      <c r="I1175" t="s">
        <v>6</v>
      </c>
      <c r="J1175" t="s">
        <v>6</v>
      </c>
      <c r="K1175">
        <v>25.9</v>
      </c>
      <c r="L1175">
        <v>29.9</v>
      </c>
      <c r="M1175" t="str">
        <f t="shared" si="75"/>
        <v/>
      </c>
    </row>
    <row r="1176" spans="1:13" x14ac:dyDescent="0.2">
      <c r="A1176" s="9">
        <v>43911</v>
      </c>
      <c r="B1176">
        <f t="shared" si="72"/>
        <v>21</v>
      </c>
      <c r="C1176">
        <f t="shared" si="73"/>
        <v>3</v>
      </c>
      <c r="D1176">
        <f t="shared" si="74"/>
        <v>2020</v>
      </c>
      <c r="E1176" s="11">
        <v>3.1309999999999998</v>
      </c>
      <c r="F1176" s="11">
        <v>101.54900000000001</v>
      </c>
      <c r="G1176" s="11">
        <v>27.4</v>
      </c>
      <c r="H1176" s="1" t="s">
        <v>0</v>
      </c>
      <c r="I1176" t="s">
        <v>6</v>
      </c>
      <c r="J1176" t="s">
        <v>6</v>
      </c>
      <c r="K1176" t="s">
        <v>6</v>
      </c>
      <c r="L1176">
        <v>27.3</v>
      </c>
      <c r="M1176" t="str">
        <f t="shared" si="75"/>
        <v/>
      </c>
    </row>
    <row r="1177" spans="1:13" x14ac:dyDescent="0.2">
      <c r="A1177" s="9">
        <v>43912</v>
      </c>
      <c r="B1177">
        <f t="shared" si="72"/>
        <v>22</v>
      </c>
      <c r="C1177">
        <f t="shared" si="73"/>
        <v>3</v>
      </c>
      <c r="D1177">
        <f t="shared" si="74"/>
        <v>2020</v>
      </c>
      <c r="E1177" s="11">
        <v>3.1309999999999998</v>
      </c>
      <c r="F1177" s="11">
        <v>101.54900000000001</v>
      </c>
      <c r="G1177" s="11">
        <v>27.4</v>
      </c>
      <c r="H1177" s="1" t="s">
        <v>0</v>
      </c>
      <c r="I1177" t="s">
        <v>6</v>
      </c>
      <c r="J1177" t="s">
        <v>6</v>
      </c>
      <c r="K1177">
        <v>24.7</v>
      </c>
      <c r="L1177">
        <v>28.9</v>
      </c>
      <c r="M1177" t="str">
        <f t="shared" si="75"/>
        <v/>
      </c>
    </row>
    <row r="1178" spans="1:13" x14ac:dyDescent="0.2">
      <c r="A1178" s="9">
        <v>43913</v>
      </c>
      <c r="B1178">
        <f t="shared" si="72"/>
        <v>23</v>
      </c>
      <c r="C1178">
        <f t="shared" si="73"/>
        <v>3</v>
      </c>
      <c r="D1178">
        <f t="shared" si="74"/>
        <v>2020</v>
      </c>
      <c r="E1178" s="11">
        <v>3.1309999999999998</v>
      </c>
      <c r="F1178" s="11">
        <v>101.54900000000001</v>
      </c>
      <c r="G1178" s="11">
        <v>27.4</v>
      </c>
      <c r="H1178" s="1" t="s">
        <v>0</v>
      </c>
      <c r="I1178" t="s">
        <v>6</v>
      </c>
      <c r="J1178" t="s">
        <v>6</v>
      </c>
      <c r="K1178" t="s">
        <v>6</v>
      </c>
      <c r="L1178">
        <v>27.2</v>
      </c>
      <c r="M1178" t="str">
        <f t="shared" si="75"/>
        <v/>
      </c>
    </row>
    <row r="1179" spans="1:13" x14ac:dyDescent="0.2">
      <c r="A1179" s="9">
        <v>43914</v>
      </c>
      <c r="B1179">
        <f t="shared" si="72"/>
        <v>24</v>
      </c>
      <c r="C1179">
        <f t="shared" si="73"/>
        <v>3</v>
      </c>
      <c r="D1179">
        <f t="shared" si="74"/>
        <v>2020</v>
      </c>
      <c r="E1179" s="11">
        <v>3.1309999999999998</v>
      </c>
      <c r="F1179" s="11">
        <v>101.54900000000001</v>
      </c>
      <c r="G1179" s="11">
        <v>27.4</v>
      </c>
      <c r="H1179" s="1" t="s">
        <v>0</v>
      </c>
      <c r="I1179" t="s">
        <v>6</v>
      </c>
      <c r="J1179" t="s">
        <v>6</v>
      </c>
      <c r="K1179">
        <v>25</v>
      </c>
      <c r="L1179">
        <v>27.3</v>
      </c>
      <c r="M1179" t="str">
        <f t="shared" si="75"/>
        <v/>
      </c>
    </row>
    <row r="1180" spans="1:13" x14ac:dyDescent="0.2">
      <c r="A1180" s="9">
        <v>43915</v>
      </c>
      <c r="B1180">
        <f t="shared" si="72"/>
        <v>25</v>
      </c>
      <c r="C1180">
        <f t="shared" si="73"/>
        <v>3</v>
      </c>
      <c r="D1180">
        <f t="shared" si="74"/>
        <v>2020</v>
      </c>
      <c r="E1180" s="11">
        <v>3.1309999999999998</v>
      </c>
      <c r="F1180" s="11">
        <v>101.54900000000001</v>
      </c>
      <c r="G1180" s="11">
        <v>27.4</v>
      </c>
      <c r="H1180" s="1" t="s">
        <v>0</v>
      </c>
      <c r="I1180" t="s">
        <v>6</v>
      </c>
      <c r="J1180" t="s">
        <v>6</v>
      </c>
      <c r="K1180">
        <v>24.9</v>
      </c>
      <c r="L1180">
        <v>30.1</v>
      </c>
      <c r="M1180" t="str">
        <f t="shared" si="75"/>
        <v/>
      </c>
    </row>
    <row r="1181" spans="1:13" x14ac:dyDescent="0.2">
      <c r="A1181" s="9">
        <v>43916</v>
      </c>
      <c r="B1181">
        <f t="shared" si="72"/>
        <v>26</v>
      </c>
      <c r="C1181">
        <f t="shared" si="73"/>
        <v>3</v>
      </c>
      <c r="D1181">
        <f t="shared" si="74"/>
        <v>2020</v>
      </c>
      <c r="E1181" s="11">
        <v>3.1309999999999998</v>
      </c>
      <c r="F1181" s="11">
        <v>101.54900000000001</v>
      </c>
      <c r="G1181" s="11">
        <v>27.4</v>
      </c>
      <c r="H1181" s="1" t="s">
        <v>0</v>
      </c>
      <c r="I1181" t="s">
        <v>6</v>
      </c>
      <c r="J1181" t="s">
        <v>6</v>
      </c>
      <c r="K1181">
        <v>25</v>
      </c>
      <c r="L1181">
        <v>29.8</v>
      </c>
      <c r="M1181" t="str">
        <f t="shared" si="75"/>
        <v/>
      </c>
    </row>
    <row r="1182" spans="1:13" x14ac:dyDescent="0.2">
      <c r="A1182" s="9">
        <v>43917</v>
      </c>
      <c r="B1182">
        <f t="shared" si="72"/>
        <v>27</v>
      </c>
      <c r="C1182">
        <f t="shared" si="73"/>
        <v>3</v>
      </c>
      <c r="D1182">
        <f t="shared" si="74"/>
        <v>2020</v>
      </c>
      <c r="E1182" s="11">
        <v>3.1309999999999998</v>
      </c>
      <c r="F1182" s="11">
        <v>101.54900000000001</v>
      </c>
      <c r="G1182" s="11">
        <v>27.4</v>
      </c>
      <c r="H1182" s="1" t="s">
        <v>0</v>
      </c>
      <c r="I1182" t="s">
        <v>6</v>
      </c>
      <c r="J1182" t="s">
        <v>6</v>
      </c>
      <c r="K1182">
        <v>25.4</v>
      </c>
      <c r="L1182">
        <v>28.2</v>
      </c>
      <c r="M1182" t="str">
        <f t="shared" si="75"/>
        <v/>
      </c>
    </row>
    <row r="1183" spans="1:13" x14ac:dyDescent="0.2">
      <c r="A1183" s="9">
        <v>43918</v>
      </c>
      <c r="B1183">
        <f t="shared" si="72"/>
        <v>28</v>
      </c>
      <c r="C1183">
        <f t="shared" si="73"/>
        <v>3</v>
      </c>
      <c r="D1183">
        <f t="shared" si="74"/>
        <v>2020</v>
      </c>
      <c r="E1183" s="11">
        <v>3.1309999999999998</v>
      </c>
      <c r="F1183" s="11">
        <v>101.54900000000001</v>
      </c>
      <c r="G1183" s="11">
        <v>27.4</v>
      </c>
      <c r="H1183" s="1" t="s">
        <v>0</v>
      </c>
      <c r="I1183" t="s">
        <v>6</v>
      </c>
      <c r="J1183" t="s">
        <v>6</v>
      </c>
      <c r="K1183">
        <v>24.7</v>
      </c>
      <c r="L1183">
        <v>29</v>
      </c>
      <c r="M1183" t="str">
        <f t="shared" si="75"/>
        <v/>
      </c>
    </row>
    <row r="1184" spans="1:13" x14ac:dyDescent="0.2">
      <c r="A1184" s="9">
        <v>43919</v>
      </c>
      <c r="B1184">
        <f t="shared" si="72"/>
        <v>29</v>
      </c>
      <c r="C1184">
        <f t="shared" si="73"/>
        <v>3</v>
      </c>
      <c r="D1184">
        <f t="shared" si="74"/>
        <v>2020</v>
      </c>
      <c r="E1184" s="11">
        <v>3.1309999999999998</v>
      </c>
      <c r="F1184" s="11">
        <v>101.54900000000001</v>
      </c>
      <c r="G1184" s="11">
        <v>27.4</v>
      </c>
      <c r="H1184" s="1" t="s">
        <v>0</v>
      </c>
      <c r="I1184" t="s">
        <v>6</v>
      </c>
      <c r="J1184" t="s">
        <v>6</v>
      </c>
      <c r="K1184">
        <v>25.8</v>
      </c>
      <c r="L1184">
        <v>28.7</v>
      </c>
      <c r="M1184" t="str">
        <f t="shared" si="75"/>
        <v/>
      </c>
    </row>
    <row r="1185" spans="1:13" x14ac:dyDescent="0.2">
      <c r="A1185" s="9">
        <v>43920</v>
      </c>
      <c r="B1185">
        <f t="shared" si="72"/>
        <v>30</v>
      </c>
      <c r="C1185">
        <f t="shared" si="73"/>
        <v>3</v>
      </c>
      <c r="D1185">
        <f t="shared" si="74"/>
        <v>2020</v>
      </c>
      <c r="E1185" s="11">
        <v>3.1309999999999998</v>
      </c>
      <c r="F1185" s="11">
        <v>101.54900000000001</v>
      </c>
      <c r="G1185" s="11">
        <v>27.4</v>
      </c>
      <c r="H1185" s="1" t="s">
        <v>0</v>
      </c>
      <c r="I1185" t="s">
        <v>6</v>
      </c>
      <c r="J1185" t="s">
        <v>6</v>
      </c>
      <c r="K1185" t="s">
        <v>6</v>
      </c>
      <c r="L1185">
        <v>29</v>
      </c>
      <c r="M1185" t="str">
        <f t="shared" si="75"/>
        <v/>
      </c>
    </row>
    <row r="1186" spans="1:13" x14ac:dyDescent="0.2">
      <c r="A1186" s="9">
        <v>43921</v>
      </c>
      <c r="B1186">
        <f t="shared" si="72"/>
        <v>31</v>
      </c>
      <c r="C1186">
        <f t="shared" si="73"/>
        <v>3</v>
      </c>
      <c r="D1186">
        <f t="shared" si="74"/>
        <v>2020</v>
      </c>
      <c r="E1186" s="11">
        <v>3.1309999999999998</v>
      </c>
      <c r="F1186" s="11">
        <v>101.54900000000001</v>
      </c>
      <c r="G1186" s="11">
        <v>27.4</v>
      </c>
      <c r="H1186" s="1" t="s">
        <v>0</v>
      </c>
      <c r="I1186" t="s">
        <v>6</v>
      </c>
      <c r="J1186" t="s">
        <v>6</v>
      </c>
      <c r="K1186" t="s">
        <v>6</v>
      </c>
      <c r="L1186">
        <v>28.3</v>
      </c>
      <c r="M1186" t="str">
        <f t="shared" si="75"/>
        <v/>
      </c>
    </row>
    <row r="1187" spans="1:13" x14ac:dyDescent="0.2">
      <c r="A1187" s="9">
        <v>43922</v>
      </c>
      <c r="B1187">
        <f t="shared" si="72"/>
        <v>1</v>
      </c>
      <c r="C1187">
        <f t="shared" si="73"/>
        <v>4</v>
      </c>
      <c r="D1187">
        <f t="shared" si="74"/>
        <v>2020</v>
      </c>
      <c r="E1187" s="11">
        <v>3.1309999999999998</v>
      </c>
      <c r="F1187" s="11">
        <v>101.54900000000001</v>
      </c>
      <c r="G1187" s="11">
        <v>27.4</v>
      </c>
      <c r="H1187" s="1" t="s">
        <v>0</v>
      </c>
      <c r="I1187" t="s">
        <v>6</v>
      </c>
      <c r="J1187" t="s">
        <v>6</v>
      </c>
      <c r="K1187">
        <v>25.3</v>
      </c>
      <c r="L1187">
        <v>30.1</v>
      </c>
      <c r="M1187" t="str">
        <f t="shared" si="75"/>
        <v/>
      </c>
    </row>
    <row r="1188" spans="1:13" x14ac:dyDescent="0.2">
      <c r="A1188" s="9">
        <v>43923</v>
      </c>
      <c r="B1188">
        <f t="shared" si="72"/>
        <v>2</v>
      </c>
      <c r="C1188">
        <f t="shared" si="73"/>
        <v>4</v>
      </c>
      <c r="D1188">
        <f t="shared" si="74"/>
        <v>2020</v>
      </c>
      <c r="E1188" s="11">
        <v>3.1309999999999998</v>
      </c>
      <c r="F1188" s="11">
        <v>101.54900000000001</v>
      </c>
      <c r="G1188" s="11">
        <v>27.4</v>
      </c>
      <c r="H1188" s="1" t="s">
        <v>0</v>
      </c>
      <c r="I1188" t="s">
        <v>6</v>
      </c>
      <c r="J1188" t="s">
        <v>6</v>
      </c>
      <c r="K1188" t="s">
        <v>6</v>
      </c>
      <c r="L1188">
        <v>28.5</v>
      </c>
      <c r="M1188" t="str">
        <f t="shared" si="75"/>
        <v/>
      </c>
    </row>
    <row r="1189" spans="1:13" x14ac:dyDescent="0.2">
      <c r="A1189" s="9">
        <v>43924</v>
      </c>
      <c r="B1189">
        <f t="shared" si="72"/>
        <v>3</v>
      </c>
      <c r="C1189">
        <f t="shared" si="73"/>
        <v>4</v>
      </c>
      <c r="D1189">
        <f t="shared" si="74"/>
        <v>2020</v>
      </c>
      <c r="E1189" s="11">
        <v>3.1309999999999998</v>
      </c>
      <c r="F1189" s="11">
        <v>101.54900000000001</v>
      </c>
      <c r="G1189" s="11">
        <v>27.4</v>
      </c>
      <c r="H1189" s="1" t="s">
        <v>0</v>
      </c>
      <c r="I1189" t="s">
        <v>6</v>
      </c>
      <c r="J1189" t="s">
        <v>6</v>
      </c>
      <c r="K1189">
        <v>25.1</v>
      </c>
      <c r="L1189">
        <v>28.4</v>
      </c>
      <c r="M1189" t="str">
        <f t="shared" si="75"/>
        <v/>
      </c>
    </row>
    <row r="1190" spans="1:13" x14ac:dyDescent="0.2">
      <c r="A1190" s="9">
        <v>43925</v>
      </c>
      <c r="B1190">
        <f t="shared" si="72"/>
        <v>4</v>
      </c>
      <c r="C1190">
        <f t="shared" si="73"/>
        <v>4</v>
      </c>
      <c r="D1190">
        <f t="shared" si="74"/>
        <v>2020</v>
      </c>
      <c r="E1190" s="11">
        <v>3.1309999999999998</v>
      </c>
      <c r="F1190" s="11">
        <v>101.54900000000001</v>
      </c>
      <c r="G1190" s="11">
        <v>27.4</v>
      </c>
      <c r="H1190" s="1" t="s">
        <v>0</v>
      </c>
      <c r="I1190" t="s">
        <v>6</v>
      </c>
      <c r="J1190" t="s">
        <v>6</v>
      </c>
      <c r="K1190">
        <v>25.4</v>
      </c>
      <c r="L1190">
        <v>28.1</v>
      </c>
      <c r="M1190" t="str">
        <f t="shared" si="75"/>
        <v/>
      </c>
    </row>
    <row r="1191" spans="1:13" x14ac:dyDescent="0.2">
      <c r="A1191" s="9">
        <v>43926</v>
      </c>
      <c r="B1191">
        <f t="shared" si="72"/>
        <v>5</v>
      </c>
      <c r="C1191">
        <f t="shared" si="73"/>
        <v>4</v>
      </c>
      <c r="D1191">
        <f t="shared" si="74"/>
        <v>2020</v>
      </c>
      <c r="E1191" s="11">
        <v>3.1309999999999998</v>
      </c>
      <c r="F1191" s="11">
        <v>101.54900000000001</v>
      </c>
      <c r="G1191" s="11">
        <v>27.4</v>
      </c>
      <c r="H1191" s="1" t="s">
        <v>0</v>
      </c>
      <c r="I1191" t="s">
        <v>6</v>
      </c>
      <c r="J1191" t="s">
        <v>6</v>
      </c>
      <c r="K1191" t="s">
        <v>6</v>
      </c>
      <c r="L1191">
        <v>28.3</v>
      </c>
      <c r="M1191" t="str">
        <f t="shared" si="75"/>
        <v/>
      </c>
    </row>
    <row r="1192" spans="1:13" x14ac:dyDescent="0.2">
      <c r="A1192" s="9">
        <v>43927</v>
      </c>
      <c r="B1192">
        <f t="shared" si="72"/>
        <v>6</v>
      </c>
      <c r="C1192">
        <f t="shared" si="73"/>
        <v>4</v>
      </c>
      <c r="D1192">
        <f t="shared" si="74"/>
        <v>2020</v>
      </c>
      <c r="E1192" s="11">
        <v>3.1309999999999998</v>
      </c>
      <c r="F1192" s="11">
        <v>101.54900000000001</v>
      </c>
      <c r="G1192" s="11">
        <v>27.4</v>
      </c>
      <c r="H1192" s="1" t="s">
        <v>0</v>
      </c>
      <c r="I1192" t="s">
        <v>6</v>
      </c>
      <c r="J1192" t="s">
        <v>6</v>
      </c>
      <c r="K1192" t="s">
        <v>6</v>
      </c>
      <c r="L1192">
        <v>27.7</v>
      </c>
      <c r="M1192" t="str">
        <f t="shared" si="75"/>
        <v/>
      </c>
    </row>
    <row r="1193" spans="1:13" x14ac:dyDescent="0.2">
      <c r="A1193" s="9">
        <v>43928</v>
      </c>
      <c r="B1193">
        <f t="shared" si="72"/>
        <v>7</v>
      </c>
      <c r="C1193">
        <f t="shared" si="73"/>
        <v>4</v>
      </c>
      <c r="D1193">
        <f t="shared" si="74"/>
        <v>2020</v>
      </c>
      <c r="E1193" s="11">
        <v>3.1309999999999998</v>
      </c>
      <c r="F1193" s="11">
        <v>101.54900000000001</v>
      </c>
      <c r="G1193" s="11">
        <v>27.4</v>
      </c>
      <c r="H1193" s="1" t="s">
        <v>0</v>
      </c>
      <c r="I1193" t="s">
        <v>6</v>
      </c>
      <c r="J1193" t="s">
        <v>6</v>
      </c>
      <c r="K1193">
        <v>24.4</v>
      </c>
      <c r="L1193">
        <v>28.7</v>
      </c>
      <c r="M1193" t="str">
        <f t="shared" si="75"/>
        <v/>
      </c>
    </row>
    <row r="1194" spans="1:13" x14ac:dyDescent="0.2">
      <c r="A1194" s="9">
        <v>43929</v>
      </c>
      <c r="B1194">
        <f t="shared" si="72"/>
        <v>8</v>
      </c>
      <c r="C1194">
        <f t="shared" si="73"/>
        <v>4</v>
      </c>
      <c r="D1194">
        <f t="shared" si="74"/>
        <v>2020</v>
      </c>
      <c r="E1194" s="11">
        <v>3.1309999999999998</v>
      </c>
      <c r="F1194" s="11">
        <v>101.54900000000001</v>
      </c>
      <c r="G1194" s="11">
        <v>27.4</v>
      </c>
      <c r="H1194" s="1" t="s">
        <v>0</v>
      </c>
      <c r="I1194" t="s">
        <v>6</v>
      </c>
      <c r="J1194" t="s">
        <v>6</v>
      </c>
      <c r="K1194">
        <v>25.3</v>
      </c>
      <c r="L1194">
        <v>28.9</v>
      </c>
      <c r="M1194" t="str">
        <f t="shared" si="75"/>
        <v/>
      </c>
    </row>
    <row r="1195" spans="1:13" x14ac:dyDescent="0.2">
      <c r="A1195" s="9">
        <v>43930</v>
      </c>
      <c r="B1195">
        <f t="shared" si="72"/>
        <v>9</v>
      </c>
      <c r="C1195">
        <f t="shared" si="73"/>
        <v>4</v>
      </c>
      <c r="D1195">
        <f t="shared" si="74"/>
        <v>2020</v>
      </c>
      <c r="E1195" s="11">
        <v>3.1309999999999998</v>
      </c>
      <c r="F1195" s="11">
        <v>101.54900000000001</v>
      </c>
      <c r="G1195" s="11">
        <v>27.4</v>
      </c>
      <c r="H1195" s="1" t="s">
        <v>0</v>
      </c>
      <c r="I1195" t="s">
        <v>6</v>
      </c>
      <c r="J1195" t="s">
        <v>6</v>
      </c>
      <c r="K1195">
        <v>26.4</v>
      </c>
      <c r="L1195">
        <v>30.2</v>
      </c>
      <c r="M1195" t="str">
        <f t="shared" si="75"/>
        <v/>
      </c>
    </row>
    <row r="1196" spans="1:13" x14ac:dyDescent="0.2">
      <c r="A1196" s="9">
        <v>43931</v>
      </c>
      <c r="B1196">
        <f t="shared" si="72"/>
        <v>10</v>
      </c>
      <c r="C1196">
        <f t="shared" si="73"/>
        <v>4</v>
      </c>
      <c r="D1196">
        <f t="shared" si="74"/>
        <v>2020</v>
      </c>
      <c r="E1196" s="11">
        <v>3.1309999999999998</v>
      </c>
      <c r="F1196" s="11">
        <v>101.54900000000001</v>
      </c>
      <c r="G1196" s="11">
        <v>27.4</v>
      </c>
      <c r="H1196" s="1" t="s">
        <v>0</v>
      </c>
      <c r="I1196" t="s">
        <v>6</v>
      </c>
      <c r="J1196" t="s">
        <v>6</v>
      </c>
      <c r="K1196" t="s">
        <v>6</v>
      </c>
      <c r="L1196">
        <v>29.8</v>
      </c>
      <c r="M1196" t="str">
        <f t="shared" si="75"/>
        <v/>
      </c>
    </row>
    <row r="1197" spans="1:13" x14ac:dyDescent="0.2">
      <c r="A1197" s="9">
        <v>43932</v>
      </c>
      <c r="B1197">
        <f t="shared" si="72"/>
        <v>11</v>
      </c>
      <c r="C1197">
        <f t="shared" si="73"/>
        <v>4</v>
      </c>
      <c r="D1197">
        <f t="shared" si="74"/>
        <v>2020</v>
      </c>
      <c r="E1197" s="11">
        <v>3.1309999999999998</v>
      </c>
      <c r="F1197" s="11">
        <v>101.54900000000001</v>
      </c>
      <c r="G1197" s="11">
        <v>27.4</v>
      </c>
      <c r="H1197" s="1" t="s">
        <v>0</v>
      </c>
      <c r="I1197" t="s">
        <v>6</v>
      </c>
      <c r="J1197" t="s">
        <v>6</v>
      </c>
      <c r="K1197">
        <v>25.7</v>
      </c>
      <c r="L1197">
        <v>30</v>
      </c>
      <c r="M1197" t="str">
        <f t="shared" si="75"/>
        <v/>
      </c>
    </row>
    <row r="1198" spans="1:13" x14ac:dyDescent="0.2">
      <c r="A1198" s="9">
        <v>43933</v>
      </c>
      <c r="B1198">
        <f t="shared" si="72"/>
        <v>12</v>
      </c>
      <c r="C1198">
        <f t="shared" si="73"/>
        <v>4</v>
      </c>
      <c r="D1198">
        <f t="shared" si="74"/>
        <v>2020</v>
      </c>
      <c r="E1198" s="11">
        <v>3.1309999999999998</v>
      </c>
      <c r="F1198" s="11">
        <v>101.54900000000001</v>
      </c>
      <c r="G1198" s="11">
        <v>27.4</v>
      </c>
      <c r="H1198" s="1" t="s">
        <v>0</v>
      </c>
      <c r="I1198" t="s">
        <v>6</v>
      </c>
      <c r="J1198" t="s">
        <v>6</v>
      </c>
      <c r="K1198" t="s">
        <v>6</v>
      </c>
      <c r="L1198">
        <v>29.2</v>
      </c>
      <c r="M1198" t="str">
        <f t="shared" si="75"/>
        <v/>
      </c>
    </row>
    <row r="1199" spans="1:13" x14ac:dyDescent="0.2">
      <c r="A1199" s="9">
        <v>43934</v>
      </c>
      <c r="B1199">
        <f t="shared" si="72"/>
        <v>13</v>
      </c>
      <c r="C1199">
        <f t="shared" si="73"/>
        <v>4</v>
      </c>
      <c r="D1199">
        <f t="shared" si="74"/>
        <v>2020</v>
      </c>
      <c r="E1199" s="11">
        <v>3.1309999999999998</v>
      </c>
      <c r="F1199" s="11">
        <v>101.54900000000001</v>
      </c>
      <c r="G1199" s="11">
        <v>27.4</v>
      </c>
      <c r="H1199" s="1" t="s">
        <v>0</v>
      </c>
      <c r="I1199" t="s">
        <v>6</v>
      </c>
      <c r="J1199" t="s">
        <v>6</v>
      </c>
      <c r="K1199">
        <v>24.8</v>
      </c>
      <c r="L1199">
        <v>28.7</v>
      </c>
      <c r="M1199" t="str">
        <f t="shared" si="75"/>
        <v/>
      </c>
    </row>
    <row r="1200" spans="1:13" x14ac:dyDescent="0.2">
      <c r="A1200" s="9">
        <v>43935</v>
      </c>
      <c r="B1200">
        <f t="shared" si="72"/>
        <v>14</v>
      </c>
      <c r="C1200">
        <f t="shared" si="73"/>
        <v>4</v>
      </c>
      <c r="D1200">
        <f t="shared" si="74"/>
        <v>2020</v>
      </c>
      <c r="E1200" s="11">
        <v>3.1309999999999998</v>
      </c>
      <c r="F1200" s="11">
        <v>101.54900000000001</v>
      </c>
      <c r="G1200" s="11">
        <v>27.4</v>
      </c>
      <c r="H1200" s="1" t="s">
        <v>0</v>
      </c>
      <c r="I1200" t="s">
        <v>6</v>
      </c>
      <c r="J1200" t="s">
        <v>6</v>
      </c>
      <c r="K1200">
        <v>26</v>
      </c>
      <c r="L1200">
        <v>29.9</v>
      </c>
      <c r="M1200" t="str">
        <f t="shared" si="75"/>
        <v/>
      </c>
    </row>
    <row r="1201" spans="1:13" x14ac:dyDescent="0.2">
      <c r="A1201" s="9">
        <v>43936</v>
      </c>
      <c r="B1201">
        <f t="shared" si="72"/>
        <v>15</v>
      </c>
      <c r="C1201">
        <f t="shared" si="73"/>
        <v>4</v>
      </c>
      <c r="D1201">
        <f t="shared" si="74"/>
        <v>2020</v>
      </c>
      <c r="E1201" s="11">
        <v>3.1309999999999998</v>
      </c>
      <c r="F1201" s="11">
        <v>101.54900000000001</v>
      </c>
      <c r="G1201" s="11">
        <v>27.4</v>
      </c>
      <c r="H1201" s="1" t="s">
        <v>0</v>
      </c>
      <c r="I1201" t="s">
        <v>6</v>
      </c>
      <c r="J1201" t="s">
        <v>6</v>
      </c>
      <c r="K1201" t="s">
        <v>6</v>
      </c>
      <c r="L1201">
        <v>29.2</v>
      </c>
      <c r="M1201" t="str">
        <f t="shared" si="75"/>
        <v/>
      </c>
    </row>
    <row r="1202" spans="1:13" x14ac:dyDescent="0.2">
      <c r="A1202" s="9">
        <v>43937</v>
      </c>
      <c r="B1202">
        <f t="shared" si="72"/>
        <v>16</v>
      </c>
      <c r="C1202">
        <f t="shared" si="73"/>
        <v>4</v>
      </c>
      <c r="D1202">
        <f t="shared" si="74"/>
        <v>2020</v>
      </c>
      <c r="E1202" s="11">
        <v>3.1309999999999998</v>
      </c>
      <c r="F1202" s="11">
        <v>101.54900000000001</v>
      </c>
      <c r="G1202" s="11">
        <v>27.4</v>
      </c>
      <c r="H1202" s="1" t="s">
        <v>0</v>
      </c>
      <c r="I1202" t="s">
        <v>6</v>
      </c>
      <c r="J1202" t="s">
        <v>6</v>
      </c>
      <c r="K1202" t="s">
        <v>6</v>
      </c>
      <c r="L1202">
        <v>28.2</v>
      </c>
      <c r="M1202" t="str">
        <f t="shared" si="75"/>
        <v/>
      </c>
    </row>
    <row r="1203" spans="1:13" x14ac:dyDescent="0.2">
      <c r="A1203" s="9">
        <v>43938</v>
      </c>
      <c r="B1203">
        <f t="shared" si="72"/>
        <v>17</v>
      </c>
      <c r="C1203">
        <f t="shared" si="73"/>
        <v>4</v>
      </c>
      <c r="D1203">
        <f t="shared" si="74"/>
        <v>2020</v>
      </c>
      <c r="E1203" s="11">
        <v>3.1309999999999998</v>
      </c>
      <c r="F1203" s="11">
        <v>101.54900000000001</v>
      </c>
      <c r="G1203" s="11">
        <v>27.4</v>
      </c>
      <c r="H1203" s="1" t="s">
        <v>0</v>
      </c>
      <c r="I1203" t="s">
        <v>6</v>
      </c>
      <c r="J1203" t="s">
        <v>6</v>
      </c>
      <c r="K1203">
        <v>25.2</v>
      </c>
      <c r="L1203">
        <v>29.8</v>
      </c>
      <c r="M1203" t="str">
        <f t="shared" si="75"/>
        <v/>
      </c>
    </row>
    <row r="1204" spans="1:13" x14ac:dyDescent="0.2">
      <c r="A1204" s="9">
        <v>43939</v>
      </c>
      <c r="B1204">
        <f t="shared" si="72"/>
        <v>18</v>
      </c>
      <c r="C1204">
        <f t="shared" si="73"/>
        <v>4</v>
      </c>
      <c r="D1204">
        <f t="shared" si="74"/>
        <v>2020</v>
      </c>
      <c r="E1204" s="11">
        <v>3.1309999999999998</v>
      </c>
      <c r="F1204" s="11">
        <v>101.54900000000001</v>
      </c>
      <c r="G1204" s="11">
        <v>27.4</v>
      </c>
      <c r="H1204" s="1" t="s">
        <v>0</v>
      </c>
      <c r="I1204" t="s">
        <v>6</v>
      </c>
      <c r="J1204" t="s">
        <v>6</v>
      </c>
      <c r="K1204" t="s">
        <v>6</v>
      </c>
      <c r="L1204">
        <v>28.3</v>
      </c>
      <c r="M1204" t="str">
        <f t="shared" si="75"/>
        <v/>
      </c>
    </row>
    <row r="1205" spans="1:13" x14ac:dyDescent="0.2">
      <c r="A1205" s="9">
        <v>43940</v>
      </c>
      <c r="B1205">
        <f t="shared" si="72"/>
        <v>19</v>
      </c>
      <c r="C1205">
        <f t="shared" si="73"/>
        <v>4</v>
      </c>
      <c r="D1205">
        <f t="shared" si="74"/>
        <v>2020</v>
      </c>
      <c r="E1205" s="11">
        <v>3.1309999999999998</v>
      </c>
      <c r="F1205" s="11">
        <v>101.54900000000001</v>
      </c>
      <c r="G1205" s="11">
        <v>27.4</v>
      </c>
      <c r="H1205" s="1" t="s">
        <v>0</v>
      </c>
      <c r="I1205" t="s">
        <v>6</v>
      </c>
      <c r="J1205" t="s">
        <v>6</v>
      </c>
      <c r="K1205">
        <v>25.2</v>
      </c>
      <c r="L1205">
        <v>29.7</v>
      </c>
      <c r="M1205" t="str">
        <f t="shared" si="75"/>
        <v/>
      </c>
    </row>
    <row r="1206" spans="1:13" x14ac:dyDescent="0.2">
      <c r="A1206" s="9">
        <v>43941</v>
      </c>
      <c r="B1206">
        <f t="shared" si="72"/>
        <v>20</v>
      </c>
      <c r="C1206">
        <f t="shared" si="73"/>
        <v>4</v>
      </c>
      <c r="D1206">
        <f t="shared" si="74"/>
        <v>2020</v>
      </c>
      <c r="E1206" s="11">
        <v>3.1309999999999998</v>
      </c>
      <c r="F1206" s="11">
        <v>101.54900000000001</v>
      </c>
      <c r="G1206" s="11">
        <v>27.4</v>
      </c>
      <c r="H1206" s="1" t="s">
        <v>0</v>
      </c>
      <c r="I1206" t="s">
        <v>6</v>
      </c>
      <c r="J1206" t="s">
        <v>6</v>
      </c>
      <c r="K1206" t="s">
        <v>6</v>
      </c>
      <c r="L1206">
        <v>29.3</v>
      </c>
      <c r="M1206" t="str">
        <f t="shared" si="75"/>
        <v/>
      </c>
    </row>
    <row r="1207" spans="1:13" x14ac:dyDescent="0.2">
      <c r="A1207" s="9">
        <v>43942</v>
      </c>
      <c r="B1207">
        <f t="shared" si="72"/>
        <v>21</v>
      </c>
      <c r="C1207">
        <f t="shared" si="73"/>
        <v>4</v>
      </c>
      <c r="D1207">
        <f t="shared" si="74"/>
        <v>2020</v>
      </c>
      <c r="E1207" s="11">
        <v>3.1309999999999998</v>
      </c>
      <c r="F1207" s="11">
        <v>101.54900000000001</v>
      </c>
      <c r="G1207" s="11">
        <v>27.4</v>
      </c>
      <c r="H1207" s="1" t="s">
        <v>0</v>
      </c>
      <c r="I1207" t="s">
        <v>6</v>
      </c>
      <c r="J1207" t="s">
        <v>6</v>
      </c>
      <c r="K1207" t="s">
        <v>6</v>
      </c>
      <c r="L1207">
        <v>28.5</v>
      </c>
      <c r="M1207" t="str">
        <f t="shared" si="75"/>
        <v/>
      </c>
    </row>
    <row r="1208" spans="1:13" x14ac:dyDescent="0.2">
      <c r="A1208" s="9">
        <v>43943</v>
      </c>
      <c r="B1208">
        <f t="shared" si="72"/>
        <v>22</v>
      </c>
      <c r="C1208">
        <f t="shared" si="73"/>
        <v>4</v>
      </c>
      <c r="D1208">
        <f t="shared" si="74"/>
        <v>2020</v>
      </c>
      <c r="E1208" s="11">
        <v>3.1309999999999998</v>
      </c>
      <c r="F1208" s="11">
        <v>101.54900000000001</v>
      </c>
      <c r="G1208" s="11">
        <v>27.4</v>
      </c>
      <c r="H1208" s="1" t="s">
        <v>0</v>
      </c>
      <c r="I1208" t="s">
        <v>6</v>
      </c>
      <c r="J1208" t="s">
        <v>6</v>
      </c>
      <c r="K1208" t="s">
        <v>6</v>
      </c>
      <c r="L1208">
        <v>26.7</v>
      </c>
      <c r="M1208" t="str">
        <f t="shared" si="75"/>
        <v/>
      </c>
    </row>
    <row r="1209" spans="1:13" x14ac:dyDescent="0.2">
      <c r="A1209" s="9">
        <v>43944</v>
      </c>
      <c r="B1209">
        <f t="shared" si="72"/>
        <v>23</v>
      </c>
      <c r="C1209">
        <f t="shared" si="73"/>
        <v>4</v>
      </c>
      <c r="D1209">
        <f t="shared" si="74"/>
        <v>2020</v>
      </c>
      <c r="E1209" s="11">
        <v>3.1309999999999998</v>
      </c>
      <c r="F1209" s="11">
        <v>101.54900000000001</v>
      </c>
      <c r="G1209" s="11">
        <v>27.4</v>
      </c>
      <c r="H1209" s="1" t="s">
        <v>0</v>
      </c>
      <c r="I1209" t="s">
        <v>6</v>
      </c>
      <c r="J1209" t="s">
        <v>6</v>
      </c>
      <c r="K1209">
        <v>22.9</v>
      </c>
      <c r="L1209">
        <v>26.7</v>
      </c>
      <c r="M1209" t="str">
        <f t="shared" si="75"/>
        <v/>
      </c>
    </row>
    <row r="1210" spans="1:13" x14ac:dyDescent="0.2">
      <c r="A1210" s="9">
        <v>43945</v>
      </c>
      <c r="B1210">
        <f t="shared" si="72"/>
        <v>24</v>
      </c>
      <c r="C1210">
        <f t="shared" si="73"/>
        <v>4</v>
      </c>
      <c r="D1210">
        <f t="shared" si="74"/>
        <v>2020</v>
      </c>
      <c r="E1210" s="11">
        <v>3.1309999999999998</v>
      </c>
      <c r="F1210" s="11">
        <v>101.54900000000001</v>
      </c>
      <c r="G1210" s="11">
        <v>27.4</v>
      </c>
      <c r="H1210" s="1" t="s">
        <v>0</v>
      </c>
      <c r="I1210" t="s">
        <v>6</v>
      </c>
      <c r="J1210" t="s">
        <v>6</v>
      </c>
      <c r="K1210">
        <v>23.9</v>
      </c>
      <c r="L1210">
        <v>27.5</v>
      </c>
      <c r="M1210" t="str">
        <f t="shared" si="75"/>
        <v/>
      </c>
    </row>
    <row r="1211" spans="1:13" x14ac:dyDescent="0.2">
      <c r="A1211" s="9">
        <v>43946</v>
      </c>
      <c r="B1211">
        <f t="shared" si="72"/>
        <v>25</v>
      </c>
      <c r="C1211">
        <f t="shared" si="73"/>
        <v>4</v>
      </c>
      <c r="D1211">
        <f t="shared" si="74"/>
        <v>2020</v>
      </c>
      <c r="E1211" s="11">
        <v>3.1309999999999998</v>
      </c>
      <c r="F1211" s="11">
        <v>101.54900000000001</v>
      </c>
      <c r="G1211" s="11">
        <v>27.4</v>
      </c>
      <c r="H1211" s="1" t="s">
        <v>0</v>
      </c>
      <c r="I1211" t="s">
        <v>6</v>
      </c>
      <c r="J1211" t="s">
        <v>6</v>
      </c>
      <c r="K1211">
        <v>24.9</v>
      </c>
      <c r="L1211">
        <v>27.3</v>
      </c>
      <c r="M1211" t="str">
        <f t="shared" si="75"/>
        <v/>
      </c>
    </row>
    <row r="1212" spans="1:13" x14ac:dyDescent="0.2">
      <c r="A1212" s="9">
        <v>43947</v>
      </c>
      <c r="B1212">
        <f t="shared" si="72"/>
        <v>26</v>
      </c>
      <c r="C1212">
        <f t="shared" si="73"/>
        <v>4</v>
      </c>
      <c r="D1212">
        <f t="shared" si="74"/>
        <v>2020</v>
      </c>
      <c r="E1212" s="11">
        <v>3.1309999999999998</v>
      </c>
      <c r="F1212" s="11">
        <v>101.54900000000001</v>
      </c>
      <c r="G1212" s="11">
        <v>27.4</v>
      </c>
      <c r="H1212" s="1" t="s">
        <v>0</v>
      </c>
      <c r="I1212" t="s">
        <v>6</v>
      </c>
      <c r="J1212" t="s">
        <v>6</v>
      </c>
      <c r="K1212">
        <v>24.9</v>
      </c>
      <c r="L1212">
        <v>27.2</v>
      </c>
      <c r="M1212" t="str">
        <f t="shared" si="75"/>
        <v/>
      </c>
    </row>
    <row r="1213" spans="1:13" x14ac:dyDescent="0.2">
      <c r="A1213" s="9">
        <v>43948</v>
      </c>
      <c r="B1213">
        <f t="shared" si="72"/>
        <v>27</v>
      </c>
      <c r="C1213">
        <f t="shared" si="73"/>
        <v>4</v>
      </c>
      <c r="D1213">
        <f t="shared" si="74"/>
        <v>2020</v>
      </c>
      <c r="E1213" s="11">
        <v>3.1309999999999998</v>
      </c>
      <c r="F1213" s="11">
        <v>101.54900000000001</v>
      </c>
      <c r="G1213" s="11">
        <v>27.4</v>
      </c>
      <c r="H1213" s="1" t="s">
        <v>0</v>
      </c>
      <c r="I1213" t="s">
        <v>6</v>
      </c>
      <c r="J1213" t="s">
        <v>6</v>
      </c>
      <c r="K1213" t="s">
        <v>6</v>
      </c>
      <c r="L1213">
        <v>27.9</v>
      </c>
      <c r="M1213" t="str">
        <f t="shared" si="75"/>
        <v/>
      </c>
    </row>
    <row r="1214" spans="1:13" x14ac:dyDescent="0.2">
      <c r="A1214" s="9">
        <v>43949</v>
      </c>
      <c r="B1214">
        <f t="shared" si="72"/>
        <v>28</v>
      </c>
      <c r="C1214">
        <f t="shared" si="73"/>
        <v>4</v>
      </c>
      <c r="D1214">
        <f t="shared" si="74"/>
        <v>2020</v>
      </c>
      <c r="E1214" s="11">
        <v>3.1309999999999998</v>
      </c>
      <c r="F1214" s="11">
        <v>101.54900000000001</v>
      </c>
      <c r="G1214" s="11">
        <v>27.4</v>
      </c>
      <c r="H1214" s="1" t="s">
        <v>0</v>
      </c>
      <c r="I1214">
        <v>31</v>
      </c>
      <c r="J1214" t="s">
        <v>6</v>
      </c>
      <c r="K1214" t="s">
        <v>6</v>
      </c>
      <c r="L1214">
        <v>27.4</v>
      </c>
      <c r="M1214">
        <f t="shared" si="75"/>
        <v>1</v>
      </c>
    </row>
    <row r="1215" spans="1:13" x14ac:dyDescent="0.2">
      <c r="A1215" s="9">
        <v>43950</v>
      </c>
      <c r="B1215">
        <f t="shared" si="72"/>
        <v>29</v>
      </c>
      <c r="C1215">
        <f t="shared" si="73"/>
        <v>4</v>
      </c>
      <c r="D1215">
        <f t="shared" si="74"/>
        <v>2020</v>
      </c>
      <c r="E1215" s="11">
        <v>3.1309999999999998</v>
      </c>
      <c r="F1215" s="11">
        <v>101.54900000000001</v>
      </c>
      <c r="G1215" s="11">
        <v>27.4</v>
      </c>
      <c r="H1215" s="1" t="s">
        <v>0</v>
      </c>
      <c r="I1215">
        <v>17</v>
      </c>
      <c r="J1215" t="s">
        <v>6</v>
      </c>
      <c r="K1215">
        <v>24.6</v>
      </c>
      <c r="L1215">
        <v>28.7</v>
      </c>
      <c r="M1215">
        <f t="shared" si="75"/>
        <v>1</v>
      </c>
    </row>
    <row r="1216" spans="1:13" x14ac:dyDescent="0.2">
      <c r="A1216" s="9">
        <v>43951</v>
      </c>
      <c r="B1216">
        <f t="shared" si="72"/>
        <v>30</v>
      </c>
      <c r="C1216">
        <f t="shared" si="73"/>
        <v>4</v>
      </c>
      <c r="D1216">
        <f t="shared" si="74"/>
        <v>2020</v>
      </c>
      <c r="E1216" s="11">
        <v>3.1309999999999998</v>
      </c>
      <c r="F1216" s="11">
        <v>101.54900000000001</v>
      </c>
      <c r="G1216" s="11">
        <v>27.4</v>
      </c>
      <c r="H1216" s="1" t="s">
        <v>0</v>
      </c>
      <c r="I1216">
        <v>0</v>
      </c>
      <c r="J1216" t="s">
        <v>6</v>
      </c>
      <c r="K1216">
        <v>26</v>
      </c>
      <c r="L1216">
        <v>27.5</v>
      </c>
      <c r="M1216">
        <f t="shared" si="75"/>
        <v>0</v>
      </c>
    </row>
    <row r="1217" spans="1:13" x14ac:dyDescent="0.2">
      <c r="A1217" s="9">
        <v>43952</v>
      </c>
      <c r="B1217">
        <f t="shared" si="72"/>
        <v>1</v>
      </c>
      <c r="C1217">
        <f t="shared" si="73"/>
        <v>5</v>
      </c>
      <c r="D1217">
        <f t="shared" si="74"/>
        <v>2020</v>
      </c>
      <c r="E1217" s="11">
        <v>3.1309999999999998</v>
      </c>
      <c r="F1217" s="11">
        <v>101.54900000000001</v>
      </c>
      <c r="G1217" s="11">
        <v>27.4</v>
      </c>
      <c r="H1217" s="1" t="s">
        <v>0</v>
      </c>
      <c r="I1217">
        <v>14</v>
      </c>
      <c r="J1217" t="s">
        <v>6</v>
      </c>
      <c r="K1217">
        <v>25.4</v>
      </c>
      <c r="L1217">
        <v>27.2</v>
      </c>
      <c r="M1217">
        <f t="shared" si="75"/>
        <v>1</v>
      </c>
    </row>
    <row r="1218" spans="1:13" x14ac:dyDescent="0.2">
      <c r="A1218" s="9">
        <v>43953</v>
      </c>
      <c r="B1218">
        <f t="shared" si="72"/>
        <v>2</v>
      </c>
      <c r="C1218">
        <f t="shared" si="73"/>
        <v>5</v>
      </c>
      <c r="D1218">
        <f t="shared" si="74"/>
        <v>2020</v>
      </c>
      <c r="E1218" s="11">
        <v>3.1309999999999998</v>
      </c>
      <c r="F1218" s="11">
        <v>101.54900000000001</v>
      </c>
      <c r="G1218" s="11">
        <v>27.4</v>
      </c>
      <c r="H1218" s="1" t="s">
        <v>0</v>
      </c>
      <c r="I1218">
        <v>0.5</v>
      </c>
      <c r="J1218" t="s">
        <v>6</v>
      </c>
      <c r="K1218">
        <v>25.8</v>
      </c>
      <c r="L1218">
        <v>29.6</v>
      </c>
      <c r="M1218">
        <f t="shared" si="75"/>
        <v>1</v>
      </c>
    </row>
    <row r="1219" spans="1:13" x14ac:dyDescent="0.2">
      <c r="A1219" s="9">
        <v>43954</v>
      </c>
      <c r="B1219">
        <f t="shared" ref="B1219:B1282" si="76">DAY(A1219)</f>
        <v>3</v>
      </c>
      <c r="C1219">
        <f t="shared" ref="C1219:C1282" si="77">MONTH(A1219)</f>
        <v>5</v>
      </c>
      <c r="D1219">
        <f t="shared" ref="D1219:D1282" si="78">YEAR(A1219)</f>
        <v>2020</v>
      </c>
      <c r="E1219" s="11">
        <v>3.1309999999999998</v>
      </c>
      <c r="F1219" s="11">
        <v>101.54900000000001</v>
      </c>
      <c r="G1219" s="11">
        <v>27.4</v>
      </c>
      <c r="H1219" s="1" t="s">
        <v>0</v>
      </c>
      <c r="I1219">
        <v>0</v>
      </c>
      <c r="J1219" t="s">
        <v>6</v>
      </c>
      <c r="K1219" t="s">
        <v>6</v>
      </c>
      <c r="L1219">
        <v>28.4</v>
      </c>
      <c r="M1219">
        <f t="shared" ref="M1219:M1282" si="79">IF(ISNUMBER(I1219), IF(I1219&gt;0, 1, 0), "")</f>
        <v>0</v>
      </c>
    </row>
    <row r="1220" spans="1:13" x14ac:dyDescent="0.2">
      <c r="A1220" s="9">
        <v>43955</v>
      </c>
      <c r="B1220">
        <f t="shared" si="76"/>
        <v>4</v>
      </c>
      <c r="C1220">
        <f t="shared" si="77"/>
        <v>5</v>
      </c>
      <c r="D1220">
        <f t="shared" si="78"/>
        <v>2020</v>
      </c>
      <c r="E1220" s="11">
        <v>3.1309999999999998</v>
      </c>
      <c r="F1220" s="11">
        <v>101.54900000000001</v>
      </c>
      <c r="G1220" s="11">
        <v>27.4</v>
      </c>
      <c r="H1220" s="1" t="s">
        <v>0</v>
      </c>
      <c r="I1220" t="s">
        <v>6</v>
      </c>
      <c r="J1220" t="s">
        <v>6</v>
      </c>
      <c r="K1220">
        <v>25.5</v>
      </c>
      <c r="L1220">
        <v>30.6</v>
      </c>
      <c r="M1220" t="str">
        <f t="shared" si="79"/>
        <v/>
      </c>
    </row>
    <row r="1221" spans="1:13" x14ac:dyDescent="0.2">
      <c r="A1221" s="9">
        <v>43956</v>
      </c>
      <c r="B1221">
        <f t="shared" si="76"/>
        <v>5</v>
      </c>
      <c r="C1221">
        <f t="shared" si="77"/>
        <v>5</v>
      </c>
      <c r="D1221">
        <f t="shared" si="78"/>
        <v>2020</v>
      </c>
      <c r="E1221" s="11">
        <v>3.1309999999999998</v>
      </c>
      <c r="F1221" s="11">
        <v>101.54900000000001</v>
      </c>
      <c r="G1221" s="11">
        <v>27.4</v>
      </c>
      <c r="H1221" s="1" t="s">
        <v>0</v>
      </c>
      <c r="I1221" t="s">
        <v>6</v>
      </c>
      <c r="J1221" t="s">
        <v>6</v>
      </c>
      <c r="K1221">
        <v>26.8</v>
      </c>
      <c r="L1221">
        <v>30.7</v>
      </c>
      <c r="M1221" t="str">
        <f t="shared" si="79"/>
        <v/>
      </c>
    </row>
    <row r="1222" spans="1:13" x14ac:dyDescent="0.2">
      <c r="A1222" s="9">
        <v>43957</v>
      </c>
      <c r="B1222">
        <f t="shared" si="76"/>
        <v>6</v>
      </c>
      <c r="C1222">
        <f t="shared" si="77"/>
        <v>5</v>
      </c>
      <c r="D1222">
        <f t="shared" si="78"/>
        <v>2020</v>
      </c>
      <c r="E1222" s="11">
        <v>3.1309999999999998</v>
      </c>
      <c r="F1222" s="11">
        <v>101.54900000000001</v>
      </c>
      <c r="G1222" s="11">
        <v>27.4</v>
      </c>
      <c r="H1222" s="1" t="s">
        <v>0</v>
      </c>
      <c r="I1222" t="s">
        <v>6</v>
      </c>
      <c r="J1222" t="s">
        <v>6</v>
      </c>
      <c r="K1222">
        <v>27</v>
      </c>
      <c r="L1222">
        <v>29.9</v>
      </c>
      <c r="M1222" t="str">
        <f t="shared" si="79"/>
        <v/>
      </c>
    </row>
    <row r="1223" spans="1:13" x14ac:dyDescent="0.2">
      <c r="A1223" s="9">
        <v>43958</v>
      </c>
      <c r="B1223">
        <f t="shared" si="76"/>
        <v>7</v>
      </c>
      <c r="C1223">
        <f t="shared" si="77"/>
        <v>5</v>
      </c>
      <c r="D1223">
        <f t="shared" si="78"/>
        <v>2020</v>
      </c>
      <c r="E1223" s="11">
        <v>3.1309999999999998</v>
      </c>
      <c r="F1223" s="11">
        <v>101.54900000000001</v>
      </c>
      <c r="G1223" s="11">
        <v>27.4</v>
      </c>
      <c r="H1223" s="1" t="s">
        <v>0</v>
      </c>
      <c r="I1223" t="s">
        <v>6</v>
      </c>
      <c r="J1223" t="s">
        <v>6</v>
      </c>
      <c r="K1223" t="s">
        <v>6</v>
      </c>
      <c r="L1223">
        <v>28.9</v>
      </c>
      <c r="M1223" t="str">
        <f t="shared" si="79"/>
        <v/>
      </c>
    </row>
    <row r="1224" spans="1:13" x14ac:dyDescent="0.2">
      <c r="A1224" s="9">
        <v>43959</v>
      </c>
      <c r="B1224">
        <f t="shared" si="76"/>
        <v>8</v>
      </c>
      <c r="C1224">
        <f t="shared" si="77"/>
        <v>5</v>
      </c>
      <c r="D1224">
        <f t="shared" si="78"/>
        <v>2020</v>
      </c>
      <c r="E1224" s="11">
        <v>3.1309999999999998</v>
      </c>
      <c r="F1224" s="11">
        <v>101.54900000000001</v>
      </c>
      <c r="G1224" s="11">
        <v>27.4</v>
      </c>
      <c r="H1224" s="1" t="s">
        <v>0</v>
      </c>
      <c r="I1224" t="s">
        <v>6</v>
      </c>
      <c r="J1224" t="s">
        <v>6</v>
      </c>
      <c r="K1224">
        <v>26.7</v>
      </c>
      <c r="L1224">
        <v>29.8</v>
      </c>
      <c r="M1224" t="str">
        <f t="shared" si="79"/>
        <v/>
      </c>
    </row>
    <row r="1225" spans="1:13" x14ac:dyDescent="0.2">
      <c r="A1225" s="9">
        <v>43960</v>
      </c>
      <c r="B1225">
        <f t="shared" si="76"/>
        <v>9</v>
      </c>
      <c r="C1225">
        <f t="shared" si="77"/>
        <v>5</v>
      </c>
      <c r="D1225">
        <f t="shared" si="78"/>
        <v>2020</v>
      </c>
      <c r="E1225" s="11">
        <v>3.1309999999999998</v>
      </c>
      <c r="F1225" s="11">
        <v>101.54900000000001</v>
      </c>
      <c r="G1225" s="11">
        <v>27.4</v>
      </c>
      <c r="H1225" s="1" t="s">
        <v>0</v>
      </c>
      <c r="I1225" t="s">
        <v>6</v>
      </c>
      <c r="J1225" t="s">
        <v>6</v>
      </c>
      <c r="K1225" t="s">
        <v>6</v>
      </c>
      <c r="L1225">
        <v>29.7</v>
      </c>
      <c r="M1225" t="str">
        <f t="shared" si="79"/>
        <v/>
      </c>
    </row>
    <row r="1226" spans="1:13" x14ac:dyDescent="0.2">
      <c r="A1226" s="9">
        <v>43961</v>
      </c>
      <c r="B1226">
        <f t="shared" si="76"/>
        <v>10</v>
      </c>
      <c r="C1226">
        <f t="shared" si="77"/>
        <v>5</v>
      </c>
      <c r="D1226">
        <f t="shared" si="78"/>
        <v>2020</v>
      </c>
      <c r="E1226" s="11">
        <v>3.1309999999999998</v>
      </c>
      <c r="F1226" s="11">
        <v>101.54900000000001</v>
      </c>
      <c r="G1226" s="11">
        <v>27.4</v>
      </c>
      <c r="H1226" s="1" t="s">
        <v>0</v>
      </c>
      <c r="I1226" t="s">
        <v>6</v>
      </c>
      <c r="J1226" t="s">
        <v>6</v>
      </c>
      <c r="K1226" t="s">
        <v>6</v>
      </c>
      <c r="L1226">
        <v>29.4</v>
      </c>
      <c r="M1226" t="str">
        <f t="shared" si="79"/>
        <v/>
      </c>
    </row>
    <row r="1227" spans="1:13" x14ac:dyDescent="0.2">
      <c r="A1227" s="9">
        <v>43962</v>
      </c>
      <c r="B1227">
        <f t="shared" si="76"/>
        <v>11</v>
      </c>
      <c r="C1227">
        <f t="shared" si="77"/>
        <v>5</v>
      </c>
      <c r="D1227">
        <f t="shared" si="78"/>
        <v>2020</v>
      </c>
      <c r="E1227" s="11">
        <v>3.1309999999999998</v>
      </c>
      <c r="F1227" s="11">
        <v>101.54900000000001</v>
      </c>
      <c r="G1227" s="11">
        <v>27.4</v>
      </c>
      <c r="H1227" s="1" t="s">
        <v>0</v>
      </c>
      <c r="I1227" t="s">
        <v>6</v>
      </c>
      <c r="J1227">
        <v>35.799999999999997</v>
      </c>
      <c r="K1227">
        <v>26.8</v>
      </c>
      <c r="L1227">
        <v>30.7</v>
      </c>
      <c r="M1227" t="str">
        <f t="shared" si="79"/>
        <v/>
      </c>
    </row>
    <row r="1228" spans="1:13" x14ac:dyDescent="0.2">
      <c r="A1228" s="9">
        <v>43963</v>
      </c>
      <c r="B1228">
        <f t="shared" si="76"/>
        <v>12</v>
      </c>
      <c r="C1228">
        <f t="shared" si="77"/>
        <v>5</v>
      </c>
      <c r="D1228">
        <f t="shared" si="78"/>
        <v>2020</v>
      </c>
      <c r="E1228" s="11">
        <v>3.1309999999999998</v>
      </c>
      <c r="F1228" s="11">
        <v>101.54900000000001</v>
      </c>
      <c r="G1228" s="11">
        <v>27.4</v>
      </c>
      <c r="H1228" s="1" t="s">
        <v>0</v>
      </c>
      <c r="I1228">
        <v>0</v>
      </c>
      <c r="J1228" t="s">
        <v>6</v>
      </c>
      <c r="K1228" t="s">
        <v>6</v>
      </c>
      <c r="L1228">
        <v>29.7</v>
      </c>
      <c r="M1228">
        <f t="shared" si="79"/>
        <v>0</v>
      </c>
    </row>
    <row r="1229" spans="1:13" x14ac:dyDescent="0.2">
      <c r="A1229" s="9">
        <v>43964</v>
      </c>
      <c r="B1229">
        <f t="shared" si="76"/>
        <v>13</v>
      </c>
      <c r="C1229">
        <f t="shared" si="77"/>
        <v>5</v>
      </c>
      <c r="D1229">
        <f t="shared" si="78"/>
        <v>2020</v>
      </c>
      <c r="E1229" s="11">
        <v>3.1309999999999998</v>
      </c>
      <c r="F1229" s="11">
        <v>101.54900000000001</v>
      </c>
      <c r="G1229" s="11">
        <v>27.4</v>
      </c>
      <c r="H1229" s="1" t="s">
        <v>0</v>
      </c>
      <c r="I1229">
        <v>0.3</v>
      </c>
      <c r="J1229" t="s">
        <v>6</v>
      </c>
      <c r="K1229" t="s">
        <v>6</v>
      </c>
      <c r="L1229">
        <v>28.6</v>
      </c>
      <c r="M1229">
        <f t="shared" si="79"/>
        <v>1</v>
      </c>
    </row>
    <row r="1230" spans="1:13" x14ac:dyDescent="0.2">
      <c r="A1230" s="9">
        <v>43965</v>
      </c>
      <c r="B1230">
        <f t="shared" si="76"/>
        <v>14</v>
      </c>
      <c r="C1230">
        <f t="shared" si="77"/>
        <v>5</v>
      </c>
      <c r="D1230">
        <f t="shared" si="78"/>
        <v>2020</v>
      </c>
      <c r="E1230" s="11">
        <v>3.1309999999999998</v>
      </c>
      <c r="F1230" s="11">
        <v>101.54900000000001</v>
      </c>
      <c r="G1230" s="11">
        <v>27.4</v>
      </c>
      <c r="H1230" s="1" t="s">
        <v>0</v>
      </c>
      <c r="I1230">
        <v>0</v>
      </c>
      <c r="J1230" t="s">
        <v>6</v>
      </c>
      <c r="K1230">
        <v>25.7</v>
      </c>
      <c r="L1230">
        <v>30.1</v>
      </c>
      <c r="M1230">
        <f t="shared" si="79"/>
        <v>0</v>
      </c>
    </row>
    <row r="1231" spans="1:13" x14ac:dyDescent="0.2">
      <c r="A1231" s="9">
        <v>43966</v>
      </c>
      <c r="B1231">
        <f t="shared" si="76"/>
        <v>15</v>
      </c>
      <c r="C1231">
        <f t="shared" si="77"/>
        <v>5</v>
      </c>
      <c r="D1231">
        <f t="shared" si="78"/>
        <v>2020</v>
      </c>
      <c r="E1231" s="11">
        <v>3.1309999999999998</v>
      </c>
      <c r="F1231" s="11">
        <v>101.54900000000001</v>
      </c>
      <c r="G1231" s="11">
        <v>27.4</v>
      </c>
      <c r="H1231" s="1" t="s">
        <v>0</v>
      </c>
      <c r="I1231">
        <v>6.1</v>
      </c>
      <c r="J1231">
        <v>35.1</v>
      </c>
      <c r="K1231">
        <v>26.6</v>
      </c>
      <c r="L1231">
        <v>30.7</v>
      </c>
      <c r="M1231">
        <f t="shared" si="79"/>
        <v>1</v>
      </c>
    </row>
    <row r="1232" spans="1:13" x14ac:dyDescent="0.2">
      <c r="A1232" s="9">
        <v>43967</v>
      </c>
      <c r="B1232">
        <f t="shared" si="76"/>
        <v>16</v>
      </c>
      <c r="C1232">
        <f t="shared" si="77"/>
        <v>5</v>
      </c>
      <c r="D1232">
        <f t="shared" si="78"/>
        <v>2020</v>
      </c>
      <c r="E1232" s="11">
        <v>3.1309999999999998</v>
      </c>
      <c r="F1232" s="11">
        <v>101.54900000000001</v>
      </c>
      <c r="G1232" s="11">
        <v>27.4</v>
      </c>
      <c r="H1232" s="1" t="s">
        <v>0</v>
      </c>
      <c r="I1232">
        <v>0</v>
      </c>
      <c r="J1232" t="s">
        <v>6</v>
      </c>
      <c r="K1232" t="s">
        <v>6</v>
      </c>
      <c r="L1232">
        <v>28.4</v>
      </c>
      <c r="M1232">
        <f t="shared" si="79"/>
        <v>0</v>
      </c>
    </row>
    <row r="1233" spans="1:13" x14ac:dyDescent="0.2">
      <c r="A1233" s="9">
        <v>43968</v>
      </c>
      <c r="B1233">
        <f t="shared" si="76"/>
        <v>17</v>
      </c>
      <c r="C1233">
        <f t="shared" si="77"/>
        <v>5</v>
      </c>
      <c r="D1233">
        <f t="shared" si="78"/>
        <v>2020</v>
      </c>
      <c r="E1233" s="11">
        <v>3.1309999999999998</v>
      </c>
      <c r="F1233" s="11">
        <v>101.54900000000001</v>
      </c>
      <c r="G1233" s="11">
        <v>27.4</v>
      </c>
      <c r="H1233" s="1" t="s">
        <v>0</v>
      </c>
      <c r="I1233">
        <v>103.1</v>
      </c>
      <c r="J1233" t="s">
        <v>6</v>
      </c>
      <c r="K1233">
        <v>24.5</v>
      </c>
      <c r="L1233">
        <v>28.4</v>
      </c>
      <c r="M1233">
        <f t="shared" si="79"/>
        <v>1</v>
      </c>
    </row>
    <row r="1234" spans="1:13" x14ac:dyDescent="0.2">
      <c r="A1234" s="9">
        <v>43969</v>
      </c>
      <c r="B1234">
        <f t="shared" si="76"/>
        <v>18</v>
      </c>
      <c r="C1234">
        <f t="shared" si="77"/>
        <v>5</v>
      </c>
      <c r="D1234">
        <f t="shared" si="78"/>
        <v>2020</v>
      </c>
      <c r="E1234" s="11">
        <v>3.1309999999999998</v>
      </c>
      <c r="F1234" s="11">
        <v>101.54900000000001</v>
      </c>
      <c r="G1234" s="11">
        <v>27.4</v>
      </c>
      <c r="H1234" s="1" t="s">
        <v>0</v>
      </c>
      <c r="I1234">
        <v>0</v>
      </c>
      <c r="J1234" t="s">
        <v>6</v>
      </c>
      <c r="K1234">
        <v>25.3</v>
      </c>
      <c r="L1234">
        <v>30.4</v>
      </c>
      <c r="M1234">
        <f t="shared" si="79"/>
        <v>0</v>
      </c>
    </row>
    <row r="1235" spans="1:13" x14ac:dyDescent="0.2">
      <c r="A1235" s="9">
        <v>43970</v>
      </c>
      <c r="B1235">
        <f t="shared" si="76"/>
        <v>19</v>
      </c>
      <c r="C1235">
        <f t="shared" si="77"/>
        <v>5</v>
      </c>
      <c r="D1235">
        <f t="shared" si="78"/>
        <v>2020</v>
      </c>
      <c r="E1235" s="11">
        <v>3.1309999999999998</v>
      </c>
      <c r="F1235" s="11">
        <v>101.54900000000001</v>
      </c>
      <c r="G1235" s="11">
        <v>27.4</v>
      </c>
      <c r="H1235" s="1" t="s">
        <v>0</v>
      </c>
      <c r="I1235" t="s">
        <v>6</v>
      </c>
      <c r="J1235" t="s">
        <v>6</v>
      </c>
      <c r="K1235">
        <v>26.5</v>
      </c>
      <c r="L1235">
        <v>31.1</v>
      </c>
      <c r="M1235" t="str">
        <f t="shared" si="79"/>
        <v/>
      </c>
    </row>
    <row r="1236" spans="1:13" x14ac:dyDescent="0.2">
      <c r="A1236" s="9">
        <v>43971</v>
      </c>
      <c r="B1236">
        <f t="shared" si="76"/>
        <v>20</v>
      </c>
      <c r="C1236">
        <f t="shared" si="77"/>
        <v>5</v>
      </c>
      <c r="D1236">
        <f t="shared" si="78"/>
        <v>2020</v>
      </c>
      <c r="E1236" s="11">
        <v>3.1309999999999998</v>
      </c>
      <c r="F1236" s="11">
        <v>101.54900000000001</v>
      </c>
      <c r="G1236" s="11">
        <v>27.4</v>
      </c>
      <c r="H1236" s="1" t="s">
        <v>0</v>
      </c>
      <c r="I1236">
        <v>0</v>
      </c>
      <c r="J1236" t="s">
        <v>6</v>
      </c>
      <c r="K1236" t="s">
        <v>6</v>
      </c>
      <c r="L1236">
        <v>29.1</v>
      </c>
      <c r="M1236">
        <f t="shared" si="79"/>
        <v>0</v>
      </c>
    </row>
    <row r="1237" spans="1:13" x14ac:dyDescent="0.2">
      <c r="A1237" s="9">
        <v>43972</v>
      </c>
      <c r="B1237">
        <f t="shared" si="76"/>
        <v>21</v>
      </c>
      <c r="C1237">
        <f t="shared" si="77"/>
        <v>5</v>
      </c>
      <c r="D1237">
        <f t="shared" si="78"/>
        <v>2020</v>
      </c>
      <c r="E1237" s="11">
        <v>3.1309999999999998</v>
      </c>
      <c r="F1237" s="11">
        <v>101.54900000000001</v>
      </c>
      <c r="G1237" s="11">
        <v>27.4</v>
      </c>
      <c r="H1237" s="1" t="s">
        <v>0</v>
      </c>
      <c r="I1237">
        <v>0.5</v>
      </c>
      <c r="J1237" t="s">
        <v>6</v>
      </c>
      <c r="K1237">
        <v>26</v>
      </c>
      <c r="L1237">
        <v>29.7</v>
      </c>
      <c r="M1237">
        <f t="shared" si="79"/>
        <v>1</v>
      </c>
    </row>
    <row r="1238" spans="1:13" x14ac:dyDescent="0.2">
      <c r="A1238" s="9">
        <v>43973</v>
      </c>
      <c r="B1238">
        <f t="shared" si="76"/>
        <v>22</v>
      </c>
      <c r="C1238">
        <f t="shared" si="77"/>
        <v>5</v>
      </c>
      <c r="D1238">
        <f t="shared" si="78"/>
        <v>2020</v>
      </c>
      <c r="E1238" s="11">
        <v>3.1309999999999998</v>
      </c>
      <c r="F1238" s="11">
        <v>101.54900000000001</v>
      </c>
      <c r="G1238" s="11">
        <v>27.4</v>
      </c>
      <c r="H1238" s="1" t="s">
        <v>0</v>
      </c>
      <c r="I1238">
        <v>0</v>
      </c>
      <c r="J1238" t="s">
        <v>6</v>
      </c>
      <c r="K1238" t="s">
        <v>6</v>
      </c>
      <c r="L1238">
        <v>28.8</v>
      </c>
      <c r="M1238">
        <f t="shared" si="79"/>
        <v>0</v>
      </c>
    </row>
    <row r="1239" spans="1:13" x14ac:dyDescent="0.2">
      <c r="A1239" s="9">
        <v>43974</v>
      </c>
      <c r="B1239">
        <f t="shared" si="76"/>
        <v>23</v>
      </c>
      <c r="C1239">
        <f t="shared" si="77"/>
        <v>5</v>
      </c>
      <c r="D1239">
        <f t="shared" si="78"/>
        <v>2020</v>
      </c>
      <c r="E1239" s="11">
        <v>3.1309999999999998</v>
      </c>
      <c r="F1239" s="11">
        <v>101.54900000000001</v>
      </c>
      <c r="G1239" s="11">
        <v>27.4</v>
      </c>
      <c r="H1239" s="1" t="s">
        <v>0</v>
      </c>
      <c r="I1239">
        <v>2</v>
      </c>
      <c r="J1239" t="s">
        <v>6</v>
      </c>
      <c r="K1239">
        <v>25.8</v>
      </c>
      <c r="L1239">
        <v>29.1</v>
      </c>
      <c r="M1239">
        <f t="shared" si="79"/>
        <v>1</v>
      </c>
    </row>
    <row r="1240" spans="1:13" x14ac:dyDescent="0.2">
      <c r="A1240" s="9">
        <v>43975</v>
      </c>
      <c r="B1240">
        <f t="shared" si="76"/>
        <v>24</v>
      </c>
      <c r="C1240">
        <f t="shared" si="77"/>
        <v>5</v>
      </c>
      <c r="D1240">
        <f t="shared" si="78"/>
        <v>2020</v>
      </c>
      <c r="E1240" s="11">
        <v>3.1309999999999998</v>
      </c>
      <c r="F1240" s="11">
        <v>101.54900000000001</v>
      </c>
      <c r="G1240" s="11">
        <v>27.4</v>
      </c>
      <c r="H1240" s="1" t="s">
        <v>0</v>
      </c>
      <c r="I1240">
        <v>2</v>
      </c>
      <c r="J1240" t="s">
        <v>6</v>
      </c>
      <c r="K1240">
        <v>25.8</v>
      </c>
      <c r="L1240">
        <v>28.6</v>
      </c>
      <c r="M1240">
        <f t="shared" si="79"/>
        <v>1</v>
      </c>
    </row>
    <row r="1241" spans="1:13" x14ac:dyDescent="0.2">
      <c r="A1241" s="9">
        <v>43976</v>
      </c>
      <c r="B1241">
        <f t="shared" si="76"/>
        <v>25</v>
      </c>
      <c r="C1241">
        <f t="shared" si="77"/>
        <v>5</v>
      </c>
      <c r="D1241">
        <f t="shared" si="78"/>
        <v>2020</v>
      </c>
      <c r="E1241" s="11">
        <v>3.1309999999999998</v>
      </c>
      <c r="F1241" s="11">
        <v>101.54900000000001</v>
      </c>
      <c r="G1241" s="11">
        <v>27.4</v>
      </c>
      <c r="H1241" s="1" t="s">
        <v>0</v>
      </c>
      <c r="I1241">
        <v>0.3</v>
      </c>
      <c r="J1241" t="s">
        <v>6</v>
      </c>
      <c r="K1241">
        <v>26.1</v>
      </c>
      <c r="L1241">
        <v>30.3</v>
      </c>
      <c r="M1241">
        <f t="shared" si="79"/>
        <v>1</v>
      </c>
    </row>
    <row r="1242" spans="1:13" x14ac:dyDescent="0.2">
      <c r="A1242" s="9">
        <v>43977</v>
      </c>
      <c r="B1242">
        <f t="shared" si="76"/>
        <v>26</v>
      </c>
      <c r="C1242">
        <f t="shared" si="77"/>
        <v>5</v>
      </c>
      <c r="D1242">
        <f t="shared" si="78"/>
        <v>2020</v>
      </c>
      <c r="E1242" s="11">
        <v>3.1309999999999998</v>
      </c>
      <c r="F1242" s="11">
        <v>101.54900000000001</v>
      </c>
      <c r="G1242" s="11">
        <v>27.4</v>
      </c>
      <c r="H1242" s="1" t="s">
        <v>0</v>
      </c>
      <c r="I1242">
        <v>0</v>
      </c>
      <c r="J1242" t="s">
        <v>6</v>
      </c>
      <c r="K1242" t="s">
        <v>6</v>
      </c>
      <c r="L1242">
        <v>28.2</v>
      </c>
      <c r="M1242">
        <f t="shared" si="79"/>
        <v>0</v>
      </c>
    </row>
    <row r="1243" spans="1:13" x14ac:dyDescent="0.2">
      <c r="A1243" s="9">
        <v>43978</v>
      </c>
      <c r="B1243">
        <f t="shared" si="76"/>
        <v>27</v>
      </c>
      <c r="C1243">
        <f t="shared" si="77"/>
        <v>5</v>
      </c>
      <c r="D1243">
        <f t="shared" si="78"/>
        <v>2020</v>
      </c>
      <c r="E1243" s="11">
        <v>3.1309999999999998</v>
      </c>
      <c r="F1243" s="11">
        <v>101.54900000000001</v>
      </c>
      <c r="G1243" s="11">
        <v>27.4</v>
      </c>
      <c r="H1243" s="1" t="s">
        <v>0</v>
      </c>
      <c r="I1243">
        <v>7.1</v>
      </c>
      <c r="J1243" t="s">
        <v>6</v>
      </c>
      <c r="K1243">
        <v>24.6</v>
      </c>
      <c r="L1243">
        <v>29.6</v>
      </c>
      <c r="M1243">
        <f t="shared" si="79"/>
        <v>1</v>
      </c>
    </row>
    <row r="1244" spans="1:13" x14ac:dyDescent="0.2">
      <c r="A1244" s="9">
        <v>43979</v>
      </c>
      <c r="B1244">
        <f t="shared" si="76"/>
        <v>28</v>
      </c>
      <c r="C1244">
        <f t="shared" si="77"/>
        <v>5</v>
      </c>
      <c r="D1244">
        <f t="shared" si="78"/>
        <v>2020</v>
      </c>
      <c r="E1244" s="11">
        <v>3.1309999999999998</v>
      </c>
      <c r="F1244" s="11">
        <v>101.54900000000001</v>
      </c>
      <c r="G1244" s="11">
        <v>27.4</v>
      </c>
      <c r="H1244" s="1" t="s">
        <v>0</v>
      </c>
      <c r="I1244">
        <v>3</v>
      </c>
      <c r="J1244" t="s">
        <v>6</v>
      </c>
      <c r="K1244" t="s">
        <v>6</v>
      </c>
      <c r="L1244">
        <v>29.1</v>
      </c>
      <c r="M1244">
        <f t="shared" si="79"/>
        <v>1</v>
      </c>
    </row>
    <row r="1245" spans="1:13" x14ac:dyDescent="0.2">
      <c r="A1245" s="9">
        <v>43980</v>
      </c>
      <c r="B1245">
        <f t="shared" si="76"/>
        <v>29</v>
      </c>
      <c r="C1245">
        <f t="shared" si="77"/>
        <v>5</v>
      </c>
      <c r="D1245">
        <f t="shared" si="78"/>
        <v>2020</v>
      </c>
      <c r="E1245" s="11">
        <v>3.1309999999999998</v>
      </c>
      <c r="F1245" s="11">
        <v>101.54900000000001</v>
      </c>
      <c r="G1245" s="11">
        <v>27.4</v>
      </c>
      <c r="H1245" s="1" t="s">
        <v>0</v>
      </c>
      <c r="I1245">
        <v>1.5</v>
      </c>
      <c r="J1245" t="s">
        <v>6</v>
      </c>
      <c r="K1245" t="s">
        <v>6</v>
      </c>
      <c r="L1245">
        <v>28.3</v>
      </c>
      <c r="M1245">
        <f t="shared" si="79"/>
        <v>1</v>
      </c>
    </row>
    <row r="1246" spans="1:13" x14ac:dyDescent="0.2">
      <c r="A1246" s="9">
        <v>43981</v>
      </c>
      <c r="B1246">
        <f t="shared" si="76"/>
        <v>30</v>
      </c>
      <c r="C1246">
        <f t="shared" si="77"/>
        <v>5</v>
      </c>
      <c r="D1246">
        <f t="shared" si="78"/>
        <v>2020</v>
      </c>
      <c r="E1246" s="11">
        <v>3.1309999999999998</v>
      </c>
      <c r="F1246" s="11">
        <v>101.54900000000001</v>
      </c>
      <c r="G1246" s="11">
        <v>27.4</v>
      </c>
      <c r="H1246" s="1" t="s">
        <v>0</v>
      </c>
      <c r="I1246">
        <v>4.0999999999999996</v>
      </c>
      <c r="J1246" t="s">
        <v>6</v>
      </c>
      <c r="K1246" t="s">
        <v>6</v>
      </c>
      <c r="L1246">
        <v>27.9</v>
      </c>
      <c r="M1246">
        <f t="shared" si="79"/>
        <v>1</v>
      </c>
    </row>
    <row r="1247" spans="1:13" x14ac:dyDescent="0.2">
      <c r="A1247" s="9">
        <v>43982</v>
      </c>
      <c r="B1247">
        <f t="shared" si="76"/>
        <v>31</v>
      </c>
      <c r="C1247">
        <f t="shared" si="77"/>
        <v>5</v>
      </c>
      <c r="D1247">
        <f t="shared" si="78"/>
        <v>2020</v>
      </c>
      <c r="E1247" s="11">
        <v>3.1309999999999998</v>
      </c>
      <c r="F1247" s="11">
        <v>101.54900000000001</v>
      </c>
      <c r="G1247" s="11">
        <v>27.4</v>
      </c>
      <c r="H1247" s="1" t="s">
        <v>0</v>
      </c>
      <c r="I1247">
        <v>27.9</v>
      </c>
      <c r="J1247" t="s">
        <v>6</v>
      </c>
      <c r="K1247">
        <v>24.5</v>
      </c>
      <c r="L1247">
        <v>27.8</v>
      </c>
      <c r="M1247">
        <f t="shared" si="79"/>
        <v>1</v>
      </c>
    </row>
    <row r="1248" spans="1:13" x14ac:dyDescent="0.2">
      <c r="A1248" s="9">
        <v>43983</v>
      </c>
      <c r="B1248">
        <f t="shared" si="76"/>
        <v>1</v>
      </c>
      <c r="C1248">
        <f t="shared" si="77"/>
        <v>6</v>
      </c>
      <c r="D1248">
        <f t="shared" si="78"/>
        <v>2020</v>
      </c>
      <c r="E1248" s="11">
        <v>3.1309999999999998</v>
      </c>
      <c r="F1248" s="11">
        <v>101.54900000000001</v>
      </c>
      <c r="G1248" s="11">
        <v>27.4</v>
      </c>
      <c r="H1248" s="1" t="s">
        <v>0</v>
      </c>
      <c r="I1248">
        <v>3</v>
      </c>
      <c r="J1248" t="s">
        <v>6</v>
      </c>
      <c r="K1248">
        <v>25.1</v>
      </c>
      <c r="L1248">
        <v>28.9</v>
      </c>
      <c r="M1248">
        <f t="shared" si="79"/>
        <v>1</v>
      </c>
    </row>
    <row r="1249" spans="1:13" x14ac:dyDescent="0.2">
      <c r="A1249" s="9">
        <v>43984</v>
      </c>
      <c r="B1249">
        <f t="shared" si="76"/>
        <v>2</v>
      </c>
      <c r="C1249">
        <f t="shared" si="77"/>
        <v>6</v>
      </c>
      <c r="D1249">
        <f t="shared" si="78"/>
        <v>2020</v>
      </c>
      <c r="E1249" s="11">
        <v>3.1309999999999998</v>
      </c>
      <c r="F1249" s="11">
        <v>101.54900000000001</v>
      </c>
      <c r="G1249" s="11">
        <v>27.4</v>
      </c>
      <c r="H1249" s="1" t="s">
        <v>0</v>
      </c>
      <c r="I1249">
        <v>0</v>
      </c>
      <c r="J1249">
        <v>34.700000000000003</v>
      </c>
      <c r="K1249">
        <v>26.1</v>
      </c>
      <c r="L1249">
        <v>29.3</v>
      </c>
      <c r="M1249">
        <f t="shared" si="79"/>
        <v>0</v>
      </c>
    </row>
    <row r="1250" spans="1:13" x14ac:dyDescent="0.2">
      <c r="A1250" s="9">
        <v>43985</v>
      </c>
      <c r="B1250">
        <f t="shared" si="76"/>
        <v>3</v>
      </c>
      <c r="C1250">
        <f t="shared" si="77"/>
        <v>6</v>
      </c>
      <c r="D1250">
        <f t="shared" si="78"/>
        <v>2020</v>
      </c>
      <c r="E1250" s="11">
        <v>3.1309999999999998</v>
      </c>
      <c r="F1250" s="11">
        <v>101.54900000000001</v>
      </c>
      <c r="G1250" s="11">
        <v>27.4</v>
      </c>
      <c r="H1250" s="1" t="s">
        <v>0</v>
      </c>
      <c r="I1250">
        <v>0</v>
      </c>
      <c r="J1250" t="s">
        <v>6</v>
      </c>
      <c r="K1250" t="s">
        <v>6</v>
      </c>
      <c r="L1250">
        <v>28.9</v>
      </c>
      <c r="M1250">
        <f t="shared" si="79"/>
        <v>0</v>
      </c>
    </row>
    <row r="1251" spans="1:13" x14ac:dyDescent="0.2">
      <c r="A1251" s="9">
        <v>43986</v>
      </c>
      <c r="B1251">
        <f t="shared" si="76"/>
        <v>4</v>
      </c>
      <c r="C1251">
        <f t="shared" si="77"/>
        <v>6</v>
      </c>
      <c r="D1251">
        <f t="shared" si="78"/>
        <v>2020</v>
      </c>
      <c r="E1251" s="11">
        <v>3.1309999999999998</v>
      </c>
      <c r="F1251" s="11">
        <v>101.54900000000001</v>
      </c>
      <c r="G1251" s="11">
        <v>27.4</v>
      </c>
      <c r="H1251" s="1" t="s">
        <v>0</v>
      </c>
      <c r="I1251">
        <v>0.5</v>
      </c>
      <c r="J1251" t="s">
        <v>6</v>
      </c>
      <c r="K1251" t="s">
        <v>6</v>
      </c>
      <c r="L1251">
        <v>26.1</v>
      </c>
      <c r="M1251">
        <f t="shared" si="79"/>
        <v>1</v>
      </c>
    </row>
    <row r="1252" spans="1:13" x14ac:dyDescent="0.2">
      <c r="A1252" s="9">
        <v>43987</v>
      </c>
      <c r="B1252">
        <f t="shared" si="76"/>
        <v>5</v>
      </c>
      <c r="C1252">
        <f t="shared" si="77"/>
        <v>6</v>
      </c>
      <c r="D1252">
        <f t="shared" si="78"/>
        <v>2020</v>
      </c>
      <c r="E1252" s="11">
        <v>3.1309999999999998</v>
      </c>
      <c r="F1252" s="11">
        <v>101.54900000000001</v>
      </c>
      <c r="G1252" s="11">
        <v>27.4</v>
      </c>
      <c r="H1252" s="1" t="s">
        <v>0</v>
      </c>
      <c r="I1252">
        <v>46</v>
      </c>
      <c r="J1252" t="s">
        <v>6</v>
      </c>
      <c r="K1252">
        <v>24</v>
      </c>
      <c r="L1252">
        <v>27.4</v>
      </c>
      <c r="M1252">
        <f t="shared" si="79"/>
        <v>1</v>
      </c>
    </row>
    <row r="1253" spans="1:13" x14ac:dyDescent="0.2">
      <c r="A1253" s="9">
        <v>43988</v>
      </c>
      <c r="B1253">
        <f t="shared" si="76"/>
        <v>6</v>
      </c>
      <c r="C1253">
        <f t="shared" si="77"/>
        <v>6</v>
      </c>
      <c r="D1253">
        <f t="shared" si="78"/>
        <v>2020</v>
      </c>
      <c r="E1253" s="11">
        <v>3.1309999999999998</v>
      </c>
      <c r="F1253" s="11">
        <v>101.54900000000001</v>
      </c>
      <c r="G1253" s="11">
        <v>27.4</v>
      </c>
      <c r="H1253" s="1" t="s">
        <v>0</v>
      </c>
      <c r="I1253">
        <v>1.3</v>
      </c>
      <c r="J1253" t="s">
        <v>6</v>
      </c>
      <c r="K1253">
        <v>24.7</v>
      </c>
      <c r="L1253">
        <v>28.3</v>
      </c>
      <c r="M1253">
        <f t="shared" si="79"/>
        <v>1</v>
      </c>
    </row>
    <row r="1254" spans="1:13" x14ac:dyDescent="0.2">
      <c r="A1254" s="9">
        <v>43989</v>
      </c>
      <c r="B1254">
        <f t="shared" si="76"/>
        <v>7</v>
      </c>
      <c r="C1254">
        <f t="shared" si="77"/>
        <v>6</v>
      </c>
      <c r="D1254">
        <f t="shared" si="78"/>
        <v>2020</v>
      </c>
      <c r="E1254" s="11">
        <v>3.1309999999999998</v>
      </c>
      <c r="F1254" s="11">
        <v>101.54900000000001</v>
      </c>
      <c r="G1254" s="11">
        <v>27.4</v>
      </c>
      <c r="H1254" s="1" t="s">
        <v>0</v>
      </c>
      <c r="I1254">
        <v>0</v>
      </c>
      <c r="J1254">
        <v>33.200000000000003</v>
      </c>
      <c r="K1254">
        <v>25.2</v>
      </c>
      <c r="L1254">
        <v>29.4</v>
      </c>
      <c r="M1254">
        <f t="shared" si="79"/>
        <v>0</v>
      </c>
    </row>
    <row r="1255" spans="1:13" x14ac:dyDescent="0.2">
      <c r="A1255" s="9">
        <v>43990</v>
      </c>
      <c r="B1255">
        <f t="shared" si="76"/>
        <v>8</v>
      </c>
      <c r="C1255">
        <f t="shared" si="77"/>
        <v>6</v>
      </c>
      <c r="D1255">
        <f t="shared" si="78"/>
        <v>2020</v>
      </c>
      <c r="E1255" s="11">
        <v>3.1309999999999998</v>
      </c>
      <c r="F1255" s="11">
        <v>101.54900000000001</v>
      </c>
      <c r="G1255" s="11">
        <v>27.4</v>
      </c>
      <c r="H1255" s="1" t="s">
        <v>0</v>
      </c>
      <c r="I1255">
        <v>0</v>
      </c>
      <c r="J1255">
        <v>35</v>
      </c>
      <c r="K1255" t="s">
        <v>6</v>
      </c>
      <c r="L1255">
        <v>29.9</v>
      </c>
      <c r="M1255">
        <f t="shared" si="79"/>
        <v>0</v>
      </c>
    </row>
    <row r="1256" spans="1:13" x14ac:dyDescent="0.2">
      <c r="A1256" s="9">
        <v>43991</v>
      </c>
      <c r="B1256">
        <f t="shared" si="76"/>
        <v>9</v>
      </c>
      <c r="C1256">
        <f t="shared" si="77"/>
        <v>6</v>
      </c>
      <c r="D1256">
        <f t="shared" si="78"/>
        <v>2020</v>
      </c>
      <c r="E1256" s="11">
        <v>3.1309999999999998</v>
      </c>
      <c r="F1256" s="11">
        <v>101.54900000000001</v>
      </c>
      <c r="G1256" s="11">
        <v>27.4</v>
      </c>
      <c r="H1256" s="1" t="s">
        <v>0</v>
      </c>
      <c r="I1256">
        <v>0</v>
      </c>
      <c r="J1256" t="s">
        <v>6</v>
      </c>
      <c r="K1256">
        <v>25.7</v>
      </c>
      <c r="L1256">
        <v>30.5</v>
      </c>
      <c r="M1256">
        <f t="shared" si="79"/>
        <v>0</v>
      </c>
    </row>
    <row r="1257" spans="1:13" x14ac:dyDescent="0.2">
      <c r="A1257" s="9">
        <v>43992</v>
      </c>
      <c r="B1257">
        <f t="shared" si="76"/>
        <v>10</v>
      </c>
      <c r="C1257">
        <f t="shared" si="77"/>
        <v>6</v>
      </c>
      <c r="D1257">
        <f t="shared" si="78"/>
        <v>2020</v>
      </c>
      <c r="E1257" s="11">
        <v>3.1309999999999998</v>
      </c>
      <c r="F1257" s="11">
        <v>101.54900000000001</v>
      </c>
      <c r="G1257" s="11">
        <v>27.4</v>
      </c>
      <c r="H1257" s="1" t="s">
        <v>0</v>
      </c>
      <c r="I1257">
        <v>0</v>
      </c>
      <c r="J1257" t="s">
        <v>6</v>
      </c>
      <c r="K1257">
        <v>26</v>
      </c>
      <c r="L1257">
        <v>29.9</v>
      </c>
      <c r="M1257">
        <f t="shared" si="79"/>
        <v>0</v>
      </c>
    </row>
    <row r="1258" spans="1:13" x14ac:dyDescent="0.2">
      <c r="A1258" s="9">
        <v>43993</v>
      </c>
      <c r="B1258">
        <f t="shared" si="76"/>
        <v>11</v>
      </c>
      <c r="C1258">
        <f t="shared" si="77"/>
        <v>6</v>
      </c>
      <c r="D1258">
        <f t="shared" si="78"/>
        <v>2020</v>
      </c>
      <c r="E1258" s="11">
        <v>3.1309999999999998</v>
      </c>
      <c r="F1258" s="11">
        <v>101.54900000000001</v>
      </c>
      <c r="G1258" s="11">
        <v>27.4</v>
      </c>
      <c r="H1258" s="1" t="s">
        <v>0</v>
      </c>
      <c r="I1258">
        <v>0</v>
      </c>
      <c r="J1258" t="s">
        <v>6</v>
      </c>
      <c r="K1258" t="s">
        <v>6</v>
      </c>
      <c r="L1258">
        <v>29.1</v>
      </c>
      <c r="M1258">
        <f t="shared" si="79"/>
        <v>0</v>
      </c>
    </row>
    <row r="1259" spans="1:13" x14ac:dyDescent="0.2">
      <c r="A1259" s="9">
        <v>43994</v>
      </c>
      <c r="B1259">
        <f t="shared" si="76"/>
        <v>12</v>
      </c>
      <c r="C1259">
        <f t="shared" si="77"/>
        <v>6</v>
      </c>
      <c r="D1259">
        <f t="shared" si="78"/>
        <v>2020</v>
      </c>
      <c r="E1259" s="11">
        <v>3.1309999999999998</v>
      </c>
      <c r="F1259" s="11">
        <v>101.54900000000001</v>
      </c>
      <c r="G1259" s="11">
        <v>27.4</v>
      </c>
      <c r="H1259" s="1" t="s">
        <v>0</v>
      </c>
      <c r="I1259">
        <v>0.5</v>
      </c>
      <c r="J1259">
        <v>32.200000000000003</v>
      </c>
      <c r="K1259" t="s">
        <v>6</v>
      </c>
      <c r="L1259">
        <v>26.3</v>
      </c>
      <c r="M1259">
        <f t="shared" si="79"/>
        <v>1</v>
      </c>
    </row>
    <row r="1260" spans="1:13" x14ac:dyDescent="0.2">
      <c r="A1260" s="9">
        <v>43995</v>
      </c>
      <c r="B1260">
        <f t="shared" si="76"/>
        <v>13</v>
      </c>
      <c r="C1260">
        <f t="shared" si="77"/>
        <v>6</v>
      </c>
      <c r="D1260">
        <f t="shared" si="78"/>
        <v>2020</v>
      </c>
      <c r="E1260" s="11">
        <v>3.1309999999999998</v>
      </c>
      <c r="F1260" s="11">
        <v>101.54900000000001</v>
      </c>
      <c r="G1260" s="11">
        <v>27.4</v>
      </c>
      <c r="H1260" s="1" t="s">
        <v>0</v>
      </c>
      <c r="I1260">
        <v>85.6</v>
      </c>
      <c r="J1260" t="s">
        <v>6</v>
      </c>
      <c r="K1260">
        <v>23.4</v>
      </c>
      <c r="L1260">
        <v>27.1</v>
      </c>
      <c r="M1260">
        <f t="shared" si="79"/>
        <v>1</v>
      </c>
    </row>
    <row r="1261" spans="1:13" x14ac:dyDescent="0.2">
      <c r="A1261" s="9">
        <v>43996</v>
      </c>
      <c r="B1261">
        <f t="shared" si="76"/>
        <v>14</v>
      </c>
      <c r="C1261">
        <f t="shared" si="77"/>
        <v>6</v>
      </c>
      <c r="D1261">
        <f t="shared" si="78"/>
        <v>2020</v>
      </c>
      <c r="E1261" s="11">
        <v>3.1309999999999998</v>
      </c>
      <c r="F1261" s="11">
        <v>101.54900000000001</v>
      </c>
      <c r="G1261" s="11">
        <v>27.4</v>
      </c>
      <c r="H1261" s="1" t="s">
        <v>0</v>
      </c>
      <c r="I1261">
        <v>3</v>
      </c>
      <c r="J1261">
        <v>33</v>
      </c>
      <c r="K1261">
        <v>24.8</v>
      </c>
      <c r="L1261">
        <v>29.2</v>
      </c>
      <c r="M1261">
        <f t="shared" si="79"/>
        <v>1</v>
      </c>
    </row>
    <row r="1262" spans="1:13" x14ac:dyDescent="0.2">
      <c r="A1262" s="9">
        <v>43997</v>
      </c>
      <c r="B1262">
        <f t="shared" si="76"/>
        <v>15</v>
      </c>
      <c r="C1262">
        <f t="shared" si="77"/>
        <v>6</v>
      </c>
      <c r="D1262">
        <f t="shared" si="78"/>
        <v>2020</v>
      </c>
      <c r="E1262" s="11">
        <v>3.1309999999999998</v>
      </c>
      <c r="F1262" s="11">
        <v>101.54900000000001</v>
      </c>
      <c r="G1262" s="11">
        <v>27.4</v>
      </c>
      <c r="H1262" s="1" t="s">
        <v>0</v>
      </c>
      <c r="I1262">
        <v>0</v>
      </c>
      <c r="J1262" t="s">
        <v>6</v>
      </c>
      <c r="K1262">
        <v>25.6</v>
      </c>
      <c r="L1262">
        <v>29.4</v>
      </c>
      <c r="M1262">
        <f t="shared" si="79"/>
        <v>0</v>
      </c>
    </row>
    <row r="1263" spans="1:13" x14ac:dyDescent="0.2">
      <c r="A1263" s="9">
        <v>43998</v>
      </c>
      <c r="B1263">
        <f t="shared" si="76"/>
        <v>16</v>
      </c>
      <c r="C1263">
        <f t="shared" si="77"/>
        <v>6</v>
      </c>
      <c r="D1263">
        <f t="shared" si="78"/>
        <v>2020</v>
      </c>
      <c r="E1263" s="11">
        <v>3.1309999999999998</v>
      </c>
      <c r="F1263" s="11">
        <v>101.54900000000001</v>
      </c>
      <c r="G1263" s="11">
        <v>27.4</v>
      </c>
      <c r="H1263" s="1" t="s">
        <v>0</v>
      </c>
      <c r="I1263">
        <v>0</v>
      </c>
      <c r="J1263" t="s">
        <v>6</v>
      </c>
      <c r="K1263" t="s">
        <v>6</v>
      </c>
      <c r="L1263">
        <v>28.4</v>
      </c>
      <c r="M1263">
        <f t="shared" si="79"/>
        <v>0</v>
      </c>
    </row>
    <row r="1264" spans="1:13" x14ac:dyDescent="0.2">
      <c r="A1264" s="9">
        <v>43999</v>
      </c>
      <c r="B1264">
        <f t="shared" si="76"/>
        <v>17</v>
      </c>
      <c r="C1264">
        <f t="shared" si="77"/>
        <v>6</v>
      </c>
      <c r="D1264">
        <f t="shared" si="78"/>
        <v>2020</v>
      </c>
      <c r="E1264" s="11">
        <v>3.1309999999999998</v>
      </c>
      <c r="F1264" s="11">
        <v>101.54900000000001</v>
      </c>
      <c r="G1264" s="11">
        <v>27.4</v>
      </c>
      <c r="H1264" s="1" t="s">
        <v>0</v>
      </c>
      <c r="I1264">
        <v>0</v>
      </c>
      <c r="J1264" t="s">
        <v>6</v>
      </c>
      <c r="K1264" t="s">
        <v>6</v>
      </c>
      <c r="L1264">
        <v>28.1</v>
      </c>
      <c r="M1264">
        <f t="shared" si="79"/>
        <v>0</v>
      </c>
    </row>
    <row r="1265" spans="1:13" x14ac:dyDescent="0.2">
      <c r="A1265" s="9">
        <v>44000</v>
      </c>
      <c r="B1265">
        <f t="shared" si="76"/>
        <v>18</v>
      </c>
      <c r="C1265">
        <f t="shared" si="77"/>
        <v>6</v>
      </c>
      <c r="D1265">
        <f t="shared" si="78"/>
        <v>2020</v>
      </c>
      <c r="E1265" s="11">
        <v>3.1309999999999998</v>
      </c>
      <c r="F1265" s="11">
        <v>101.54900000000001</v>
      </c>
      <c r="G1265" s="11">
        <v>27.4</v>
      </c>
      <c r="H1265" s="1" t="s">
        <v>0</v>
      </c>
      <c r="I1265">
        <v>1.5</v>
      </c>
      <c r="J1265" t="s">
        <v>6</v>
      </c>
      <c r="K1265" t="s">
        <v>6</v>
      </c>
      <c r="L1265">
        <v>27.1</v>
      </c>
      <c r="M1265">
        <f t="shared" si="79"/>
        <v>1</v>
      </c>
    </row>
    <row r="1266" spans="1:13" x14ac:dyDescent="0.2">
      <c r="A1266" s="9">
        <v>44001</v>
      </c>
      <c r="B1266">
        <f t="shared" si="76"/>
        <v>19</v>
      </c>
      <c r="C1266">
        <f t="shared" si="77"/>
        <v>6</v>
      </c>
      <c r="D1266">
        <f t="shared" si="78"/>
        <v>2020</v>
      </c>
      <c r="E1266" s="11">
        <v>3.1309999999999998</v>
      </c>
      <c r="F1266" s="11">
        <v>101.54900000000001</v>
      </c>
      <c r="G1266" s="11">
        <v>27.4</v>
      </c>
      <c r="H1266" s="1" t="s">
        <v>0</v>
      </c>
      <c r="I1266">
        <v>2.8</v>
      </c>
      <c r="J1266" t="s">
        <v>6</v>
      </c>
      <c r="K1266">
        <v>24.9</v>
      </c>
      <c r="L1266">
        <v>26.8</v>
      </c>
      <c r="M1266">
        <f t="shared" si="79"/>
        <v>1</v>
      </c>
    </row>
    <row r="1267" spans="1:13" x14ac:dyDescent="0.2">
      <c r="A1267" s="9">
        <v>44002</v>
      </c>
      <c r="B1267">
        <f t="shared" si="76"/>
        <v>20</v>
      </c>
      <c r="C1267">
        <f t="shared" si="77"/>
        <v>6</v>
      </c>
      <c r="D1267">
        <f t="shared" si="78"/>
        <v>2020</v>
      </c>
      <c r="E1267" s="11">
        <v>3.1309999999999998</v>
      </c>
      <c r="F1267" s="11">
        <v>101.54900000000001</v>
      </c>
      <c r="G1267" s="11">
        <v>27.4</v>
      </c>
      <c r="H1267" s="1" t="s">
        <v>0</v>
      </c>
      <c r="I1267">
        <v>45.7</v>
      </c>
      <c r="J1267" t="s">
        <v>6</v>
      </c>
      <c r="K1267">
        <v>24.3</v>
      </c>
      <c r="L1267">
        <v>26.5</v>
      </c>
      <c r="M1267">
        <f t="shared" si="79"/>
        <v>1</v>
      </c>
    </row>
    <row r="1268" spans="1:13" x14ac:dyDescent="0.2">
      <c r="A1268" s="9">
        <v>44003</v>
      </c>
      <c r="B1268">
        <f t="shared" si="76"/>
        <v>21</v>
      </c>
      <c r="C1268">
        <f t="shared" si="77"/>
        <v>6</v>
      </c>
      <c r="D1268">
        <f t="shared" si="78"/>
        <v>2020</v>
      </c>
      <c r="E1268" s="11">
        <v>3.1309999999999998</v>
      </c>
      <c r="F1268" s="11">
        <v>101.54900000000001</v>
      </c>
      <c r="G1268" s="11">
        <v>27.4</v>
      </c>
      <c r="H1268" s="1" t="s">
        <v>0</v>
      </c>
      <c r="I1268">
        <v>8.9</v>
      </c>
      <c r="J1268" t="s">
        <v>6</v>
      </c>
      <c r="K1268" t="s">
        <v>6</v>
      </c>
      <c r="L1268">
        <v>28.1</v>
      </c>
      <c r="M1268">
        <f t="shared" si="79"/>
        <v>1</v>
      </c>
    </row>
    <row r="1269" spans="1:13" x14ac:dyDescent="0.2">
      <c r="A1269" s="9">
        <v>44004</v>
      </c>
      <c r="B1269">
        <f t="shared" si="76"/>
        <v>22</v>
      </c>
      <c r="C1269">
        <f t="shared" si="77"/>
        <v>6</v>
      </c>
      <c r="D1269">
        <f t="shared" si="78"/>
        <v>2020</v>
      </c>
      <c r="E1269" s="11">
        <v>3.1309999999999998</v>
      </c>
      <c r="F1269" s="11">
        <v>101.54900000000001</v>
      </c>
      <c r="G1269" s="11">
        <v>27.4</v>
      </c>
      <c r="H1269" s="1" t="s">
        <v>0</v>
      </c>
      <c r="I1269">
        <v>1.3</v>
      </c>
      <c r="J1269" t="s">
        <v>6</v>
      </c>
      <c r="K1269" t="s">
        <v>6</v>
      </c>
      <c r="L1269">
        <v>28.2</v>
      </c>
      <c r="M1269">
        <f t="shared" si="79"/>
        <v>1</v>
      </c>
    </row>
    <row r="1270" spans="1:13" x14ac:dyDescent="0.2">
      <c r="A1270" s="9">
        <v>44005</v>
      </c>
      <c r="B1270">
        <f t="shared" si="76"/>
        <v>23</v>
      </c>
      <c r="C1270">
        <f t="shared" si="77"/>
        <v>6</v>
      </c>
      <c r="D1270">
        <f t="shared" si="78"/>
        <v>2020</v>
      </c>
      <c r="E1270" s="11">
        <v>3.1309999999999998</v>
      </c>
      <c r="F1270" s="11">
        <v>101.54900000000001</v>
      </c>
      <c r="G1270" s="11">
        <v>27.4</v>
      </c>
      <c r="H1270" s="1" t="s">
        <v>0</v>
      </c>
      <c r="I1270">
        <v>3.8</v>
      </c>
      <c r="J1270" t="s">
        <v>6</v>
      </c>
      <c r="K1270">
        <v>23.9</v>
      </c>
      <c r="L1270">
        <v>28.7</v>
      </c>
      <c r="M1270">
        <f t="shared" si="79"/>
        <v>1</v>
      </c>
    </row>
    <row r="1271" spans="1:13" x14ac:dyDescent="0.2">
      <c r="A1271" s="9">
        <v>44006</v>
      </c>
      <c r="B1271">
        <f t="shared" si="76"/>
        <v>24</v>
      </c>
      <c r="C1271">
        <f t="shared" si="77"/>
        <v>6</v>
      </c>
      <c r="D1271">
        <f t="shared" si="78"/>
        <v>2020</v>
      </c>
      <c r="E1271" s="11">
        <v>3.1309999999999998</v>
      </c>
      <c r="F1271" s="11">
        <v>101.54900000000001</v>
      </c>
      <c r="G1271" s="11">
        <v>27.4</v>
      </c>
      <c r="H1271" s="1" t="s">
        <v>0</v>
      </c>
      <c r="I1271">
        <v>0</v>
      </c>
      <c r="J1271" t="s">
        <v>6</v>
      </c>
      <c r="K1271">
        <v>24.3</v>
      </c>
      <c r="L1271">
        <v>28</v>
      </c>
      <c r="M1271">
        <f t="shared" si="79"/>
        <v>0</v>
      </c>
    </row>
    <row r="1272" spans="1:13" x14ac:dyDescent="0.2">
      <c r="A1272" s="9">
        <v>44007</v>
      </c>
      <c r="B1272">
        <f t="shared" si="76"/>
        <v>25</v>
      </c>
      <c r="C1272">
        <f t="shared" si="77"/>
        <v>6</v>
      </c>
      <c r="D1272">
        <f t="shared" si="78"/>
        <v>2020</v>
      </c>
      <c r="E1272" s="11">
        <v>3.1309999999999998</v>
      </c>
      <c r="F1272" s="11">
        <v>101.54900000000001</v>
      </c>
      <c r="G1272" s="11">
        <v>27.4</v>
      </c>
      <c r="H1272" s="1" t="s">
        <v>0</v>
      </c>
      <c r="I1272">
        <v>0.3</v>
      </c>
      <c r="J1272" t="s">
        <v>6</v>
      </c>
      <c r="K1272" t="s">
        <v>6</v>
      </c>
      <c r="L1272">
        <v>28.7</v>
      </c>
      <c r="M1272">
        <f t="shared" si="79"/>
        <v>1</v>
      </c>
    </row>
    <row r="1273" spans="1:13" x14ac:dyDescent="0.2">
      <c r="A1273" s="9">
        <v>44008</v>
      </c>
      <c r="B1273">
        <f t="shared" si="76"/>
        <v>26</v>
      </c>
      <c r="C1273">
        <f t="shared" si="77"/>
        <v>6</v>
      </c>
      <c r="D1273">
        <f t="shared" si="78"/>
        <v>2020</v>
      </c>
      <c r="E1273" s="11">
        <v>3.1309999999999998</v>
      </c>
      <c r="F1273" s="11">
        <v>101.54900000000001</v>
      </c>
      <c r="G1273" s="11">
        <v>27.4</v>
      </c>
      <c r="H1273" s="1" t="s">
        <v>0</v>
      </c>
      <c r="I1273">
        <v>15.2</v>
      </c>
      <c r="J1273" t="s">
        <v>6</v>
      </c>
      <c r="K1273">
        <v>23.1</v>
      </c>
      <c r="L1273">
        <v>28.1</v>
      </c>
      <c r="M1273">
        <f t="shared" si="79"/>
        <v>1</v>
      </c>
    </row>
    <row r="1274" spans="1:13" x14ac:dyDescent="0.2">
      <c r="A1274" s="9">
        <v>44009</v>
      </c>
      <c r="B1274">
        <f t="shared" si="76"/>
        <v>27</v>
      </c>
      <c r="C1274">
        <f t="shared" si="77"/>
        <v>6</v>
      </c>
      <c r="D1274">
        <f t="shared" si="78"/>
        <v>2020</v>
      </c>
      <c r="E1274" s="11">
        <v>3.1309999999999998</v>
      </c>
      <c r="F1274" s="11">
        <v>101.54900000000001</v>
      </c>
      <c r="G1274" s="11">
        <v>27.4</v>
      </c>
      <c r="H1274" s="1" t="s">
        <v>0</v>
      </c>
      <c r="I1274">
        <v>0.3</v>
      </c>
      <c r="J1274" t="s">
        <v>6</v>
      </c>
      <c r="K1274">
        <v>23.9</v>
      </c>
      <c r="L1274">
        <v>29.2</v>
      </c>
      <c r="M1274">
        <f t="shared" si="79"/>
        <v>1</v>
      </c>
    </row>
    <row r="1275" spans="1:13" x14ac:dyDescent="0.2">
      <c r="A1275" s="9">
        <v>44010</v>
      </c>
      <c r="B1275">
        <f t="shared" si="76"/>
        <v>28</v>
      </c>
      <c r="C1275">
        <f t="shared" si="77"/>
        <v>6</v>
      </c>
      <c r="D1275">
        <f t="shared" si="78"/>
        <v>2020</v>
      </c>
      <c r="E1275" s="11">
        <v>3.1309999999999998</v>
      </c>
      <c r="F1275" s="11">
        <v>101.54900000000001</v>
      </c>
      <c r="G1275" s="11">
        <v>27.4</v>
      </c>
      <c r="H1275" s="1" t="s">
        <v>0</v>
      </c>
      <c r="I1275">
        <v>0</v>
      </c>
      <c r="J1275" t="s">
        <v>6</v>
      </c>
      <c r="K1275">
        <v>26.5</v>
      </c>
      <c r="L1275">
        <v>29.7</v>
      </c>
      <c r="M1275">
        <f t="shared" si="79"/>
        <v>0</v>
      </c>
    </row>
    <row r="1276" spans="1:13" x14ac:dyDescent="0.2">
      <c r="A1276" s="9">
        <v>44011</v>
      </c>
      <c r="B1276">
        <f t="shared" si="76"/>
        <v>29</v>
      </c>
      <c r="C1276">
        <f t="shared" si="77"/>
        <v>6</v>
      </c>
      <c r="D1276">
        <f t="shared" si="78"/>
        <v>2020</v>
      </c>
      <c r="E1276" s="11">
        <v>3.1309999999999998</v>
      </c>
      <c r="F1276" s="11">
        <v>101.54900000000001</v>
      </c>
      <c r="G1276" s="11">
        <v>27.4</v>
      </c>
      <c r="H1276" s="1" t="s">
        <v>0</v>
      </c>
      <c r="I1276">
        <v>0</v>
      </c>
      <c r="J1276" t="s">
        <v>6</v>
      </c>
      <c r="K1276" t="s">
        <v>6</v>
      </c>
      <c r="L1276">
        <v>29.6</v>
      </c>
      <c r="M1276">
        <f t="shared" si="79"/>
        <v>0</v>
      </c>
    </row>
    <row r="1277" spans="1:13" x14ac:dyDescent="0.2">
      <c r="A1277" s="9">
        <v>44012</v>
      </c>
      <c r="B1277">
        <f t="shared" si="76"/>
        <v>30</v>
      </c>
      <c r="C1277">
        <f t="shared" si="77"/>
        <v>6</v>
      </c>
      <c r="D1277">
        <f t="shared" si="78"/>
        <v>2020</v>
      </c>
      <c r="E1277" s="11">
        <v>3.1309999999999998</v>
      </c>
      <c r="F1277" s="11">
        <v>101.54900000000001</v>
      </c>
      <c r="G1277" s="11">
        <v>27.4</v>
      </c>
      <c r="H1277" s="1" t="s">
        <v>0</v>
      </c>
      <c r="I1277">
        <v>0</v>
      </c>
      <c r="J1277">
        <v>33.200000000000003</v>
      </c>
      <c r="K1277">
        <v>25.6</v>
      </c>
      <c r="L1277">
        <v>29.7</v>
      </c>
      <c r="M1277">
        <f t="shared" si="79"/>
        <v>0</v>
      </c>
    </row>
    <row r="1278" spans="1:13" x14ac:dyDescent="0.2">
      <c r="A1278" s="9">
        <v>44013</v>
      </c>
      <c r="B1278">
        <f t="shared" si="76"/>
        <v>1</v>
      </c>
      <c r="C1278">
        <f t="shared" si="77"/>
        <v>7</v>
      </c>
      <c r="D1278">
        <f t="shared" si="78"/>
        <v>2020</v>
      </c>
      <c r="E1278" s="11">
        <v>3.1309999999999998</v>
      </c>
      <c r="F1278" s="11">
        <v>101.54900000000001</v>
      </c>
      <c r="G1278" s="11">
        <v>27.4</v>
      </c>
      <c r="H1278" s="1" t="s">
        <v>0</v>
      </c>
      <c r="I1278" t="s">
        <v>6</v>
      </c>
      <c r="J1278" t="s">
        <v>6</v>
      </c>
      <c r="K1278">
        <v>26.3</v>
      </c>
      <c r="L1278">
        <v>29.8</v>
      </c>
      <c r="M1278" t="str">
        <f t="shared" si="79"/>
        <v/>
      </c>
    </row>
    <row r="1279" spans="1:13" x14ac:dyDescent="0.2">
      <c r="A1279" s="9">
        <v>44014</v>
      </c>
      <c r="B1279">
        <f t="shared" si="76"/>
        <v>2</v>
      </c>
      <c r="C1279">
        <f t="shared" si="77"/>
        <v>7</v>
      </c>
      <c r="D1279">
        <f t="shared" si="78"/>
        <v>2020</v>
      </c>
      <c r="E1279" s="11">
        <v>3.1309999999999998</v>
      </c>
      <c r="F1279" s="11">
        <v>101.54900000000001</v>
      </c>
      <c r="G1279" s="11">
        <v>27.4</v>
      </c>
      <c r="H1279" s="1" t="s">
        <v>0</v>
      </c>
      <c r="I1279" t="s">
        <v>6</v>
      </c>
      <c r="J1279" t="s">
        <v>6</v>
      </c>
      <c r="K1279" t="s">
        <v>6</v>
      </c>
      <c r="L1279">
        <v>29.7</v>
      </c>
      <c r="M1279" t="str">
        <f t="shared" si="79"/>
        <v/>
      </c>
    </row>
    <row r="1280" spans="1:13" x14ac:dyDescent="0.2">
      <c r="A1280" s="9">
        <v>44015</v>
      </c>
      <c r="B1280">
        <f t="shared" si="76"/>
        <v>3</v>
      </c>
      <c r="C1280">
        <f t="shared" si="77"/>
        <v>7</v>
      </c>
      <c r="D1280">
        <f t="shared" si="78"/>
        <v>2020</v>
      </c>
      <c r="E1280" s="11">
        <v>3.1309999999999998</v>
      </c>
      <c r="F1280" s="11">
        <v>101.54900000000001</v>
      </c>
      <c r="G1280" s="11">
        <v>27.4</v>
      </c>
      <c r="H1280" s="1" t="s">
        <v>0</v>
      </c>
      <c r="I1280" t="s">
        <v>6</v>
      </c>
      <c r="J1280">
        <v>33.5</v>
      </c>
      <c r="K1280">
        <v>24.6</v>
      </c>
      <c r="L1280">
        <v>29.2</v>
      </c>
      <c r="M1280" t="str">
        <f t="shared" si="79"/>
        <v/>
      </c>
    </row>
    <row r="1281" spans="1:13" x14ac:dyDescent="0.2">
      <c r="A1281" s="9">
        <v>44016</v>
      </c>
      <c r="B1281">
        <f t="shared" si="76"/>
        <v>4</v>
      </c>
      <c r="C1281">
        <f t="shared" si="77"/>
        <v>7</v>
      </c>
      <c r="D1281">
        <f t="shared" si="78"/>
        <v>2020</v>
      </c>
      <c r="E1281" s="11">
        <v>3.1309999999999998</v>
      </c>
      <c r="F1281" s="11">
        <v>101.54900000000001</v>
      </c>
      <c r="G1281" s="11">
        <v>27.4</v>
      </c>
      <c r="H1281" s="1" t="s">
        <v>0</v>
      </c>
      <c r="I1281">
        <v>0</v>
      </c>
      <c r="J1281" t="s">
        <v>6</v>
      </c>
      <c r="K1281" t="s">
        <v>6</v>
      </c>
      <c r="L1281">
        <v>28.5</v>
      </c>
      <c r="M1281">
        <f t="shared" si="79"/>
        <v>0</v>
      </c>
    </row>
    <row r="1282" spans="1:13" x14ac:dyDescent="0.2">
      <c r="A1282" s="9">
        <v>44017</v>
      </c>
      <c r="B1282">
        <f t="shared" si="76"/>
        <v>5</v>
      </c>
      <c r="C1282">
        <f t="shared" si="77"/>
        <v>7</v>
      </c>
      <c r="D1282">
        <f t="shared" si="78"/>
        <v>2020</v>
      </c>
      <c r="E1282" s="11">
        <v>3.1309999999999998</v>
      </c>
      <c r="F1282" s="11">
        <v>101.54900000000001</v>
      </c>
      <c r="G1282" s="11">
        <v>27.4</v>
      </c>
      <c r="H1282" s="1" t="s">
        <v>0</v>
      </c>
      <c r="I1282" t="s">
        <v>6</v>
      </c>
      <c r="J1282" t="s">
        <v>6</v>
      </c>
      <c r="K1282" t="s">
        <v>6</v>
      </c>
      <c r="L1282">
        <v>28.1</v>
      </c>
      <c r="M1282" t="str">
        <f t="shared" si="79"/>
        <v/>
      </c>
    </row>
    <row r="1283" spans="1:13" x14ac:dyDescent="0.2">
      <c r="A1283" s="9">
        <v>44018</v>
      </c>
      <c r="B1283">
        <f t="shared" ref="B1283:B1346" si="80">DAY(A1283)</f>
        <v>6</v>
      </c>
      <c r="C1283">
        <f t="shared" ref="C1283:C1346" si="81">MONTH(A1283)</f>
        <v>7</v>
      </c>
      <c r="D1283">
        <f t="shared" ref="D1283:D1346" si="82">YEAR(A1283)</f>
        <v>2020</v>
      </c>
      <c r="E1283" s="11">
        <v>3.1309999999999998</v>
      </c>
      <c r="F1283" s="11">
        <v>101.54900000000001</v>
      </c>
      <c r="G1283" s="11">
        <v>27.4</v>
      </c>
      <c r="H1283" s="1" t="s">
        <v>0</v>
      </c>
      <c r="I1283" t="s">
        <v>6</v>
      </c>
      <c r="J1283" t="s">
        <v>6</v>
      </c>
      <c r="K1283">
        <v>24</v>
      </c>
      <c r="L1283">
        <v>27.2</v>
      </c>
      <c r="M1283" t="str">
        <f t="shared" ref="M1283:M1346" si="83">IF(ISNUMBER(I1283), IF(I1283&gt;0, 1, 0), "")</f>
        <v/>
      </c>
    </row>
    <row r="1284" spans="1:13" x14ac:dyDescent="0.2">
      <c r="A1284" s="9">
        <v>44019</v>
      </c>
      <c r="B1284">
        <f t="shared" si="80"/>
        <v>7</v>
      </c>
      <c r="C1284">
        <f t="shared" si="81"/>
        <v>7</v>
      </c>
      <c r="D1284">
        <f t="shared" si="82"/>
        <v>2020</v>
      </c>
      <c r="E1284" s="11">
        <v>3.1309999999999998</v>
      </c>
      <c r="F1284" s="11">
        <v>101.54900000000001</v>
      </c>
      <c r="G1284" s="11">
        <v>27.4</v>
      </c>
      <c r="H1284" s="1" t="s">
        <v>0</v>
      </c>
      <c r="I1284" t="s">
        <v>6</v>
      </c>
      <c r="J1284" t="s">
        <v>6</v>
      </c>
      <c r="K1284">
        <v>23.7</v>
      </c>
      <c r="L1284">
        <v>26.4</v>
      </c>
      <c r="M1284" t="str">
        <f t="shared" si="83"/>
        <v/>
      </c>
    </row>
    <row r="1285" spans="1:13" x14ac:dyDescent="0.2">
      <c r="A1285" s="9">
        <v>44020</v>
      </c>
      <c r="B1285">
        <f t="shared" si="80"/>
        <v>8</v>
      </c>
      <c r="C1285">
        <f t="shared" si="81"/>
        <v>7</v>
      </c>
      <c r="D1285">
        <f t="shared" si="82"/>
        <v>2020</v>
      </c>
      <c r="E1285" s="11">
        <v>3.1309999999999998</v>
      </c>
      <c r="F1285" s="11">
        <v>101.54900000000001</v>
      </c>
      <c r="G1285" s="11">
        <v>27.4</v>
      </c>
      <c r="H1285" s="1" t="s">
        <v>0</v>
      </c>
      <c r="I1285" t="s">
        <v>6</v>
      </c>
      <c r="J1285" t="s">
        <v>6</v>
      </c>
      <c r="K1285">
        <v>23.4</v>
      </c>
      <c r="L1285">
        <v>26.2</v>
      </c>
      <c r="M1285" t="str">
        <f t="shared" si="83"/>
        <v/>
      </c>
    </row>
    <row r="1286" spans="1:13" x14ac:dyDescent="0.2">
      <c r="A1286" s="9">
        <v>44021</v>
      </c>
      <c r="B1286">
        <f t="shared" si="80"/>
        <v>9</v>
      </c>
      <c r="C1286">
        <f t="shared" si="81"/>
        <v>7</v>
      </c>
      <c r="D1286">
        <f t="shared" si="82"/>
        <v>2020</v>
      </c>
      <c r="E1286" s="11">
        <v>3.1309999999999998</v>
      </c>
      <c r="F1286" s="11">
        <v>101.54900000000001</v>
      </c>
      <c r="G1286" s="11">
        <v>27.4</v>
      </c>
      <c r="H1286" s="1" t="s">
        <v>0</v>
      </c>
      <c r="I1286" t="s">
        <v>6</v>
      </c>
      <c r="J1286" t="s">
        <v>6</v>
      </c>
      <c r="K1286">
        <v>23.7</v>
      </c>
      <c r="L1286">
        <v>26.4</v>
      </c>
      <c r="M1286" t="str">
        <f t="shared" si="83"/>
        <v/>
      </c>
    </row>
    <row r="1287" spans="1:13" x14ac:dyDescent="0.2">
      <c r="A1287" s="9">
        <v>44022</v>
      </c>
      <c r="B1287">
        <f t="shared" si="80"/>
        <v>10</v>
      </c>
      <c r="C1287">
        <f t="shared" si="81"/>
        <v>7</v>
      </c>
      <c r="D1287">
        <f t="shared" si="82"/>
        <v>2020</v>
      </c>
      <c r="E1287" s="11">
        <v>3.1309999999999998</v>
      </c>
      <c r="F1287" s="11">
        <v>101.54900000000001</v>
      </c>
      <c r="G1287" s="11">
        <v>27.4</v>
      </c>
      <c r="H1287" s="1" t="s">
        <v>0</v>
      </c>
      <c r="I1287" t="s">
        <v>6</v>
      </c>
      <c r="J1287" t="s">
        <v>6</v>
      </c>
      <c r="K1287">
        <v>24.2</v>
      </c>
      <c r="L1287">
        <v>27.2</v>
      </c>
      <c r="M1287" t="str">
        <f t="shared" si="83"/>
        <v/>
      </c>
    </row>
    <row r="1288" spans="1:13" x14ac:dyDescent="0.2">
      <c r="A1288" s="9">
        <v>44023</v>
      </c>
      <c r="B1288">
        <f t="shared" si="80"/>
        <v>11</v>
      </c>
      <c r="C1288">
        <f t="shared" si="81"/>
        <v>7</v>
      </c>
      <c r="D1288">
        <f t="shared" si="82"/>
        <v>2020</v>
      </c>
      <c r="E1288" s="11">
        <v>3.1309999999999998</v>
      </c>
      <c r="F1288" s="11">
        <v>101.54900000000001</v>
      </c>
      <c r="G1288" s="11">
        <v>27.4</v>
      </c>
      <c r="H1288" s="1" t="s">
        <v>0</v>
      </c>
      <c r="I1288" t="s">
        <v>6</v>
      </c>
      <c r="J1288" t="s">
        <v>6</v>
      </c>
      <c r="K1288" t="s">
        <v>6</v>
      </c>
      <c r="L1288">
        <v>27</v>
      </c>
      <c r="M1288" t="str">
        <f t="shared" si="83"/>
        <v/>
      </c>
    </row>
    <row r="1289" spans="1:13" x14ac:dyDescent="0.2">
      <c r="A1289" s="9">
        <v>44024</v>
      </c>
      <c r="B1289">
        <f t="shared" si="80"/>
        <v>12</v>
      </c>
      <c r="C1289">
        <f t="shared" si="81"/>
        <v>7</v>
      </c>
      <c r="D1289">
        <f t="shared" si="82"/>
        <v>2020</v>
      </c>
      <c r="E1289" s="11">
        <v>3.1309999999999998</v>
      </c>
      <c r="F1289" s="11">
        <v>101.54900000000001</v>
      </c>
      <c r="G1289" s="11">
        <v>27.4</v>
      </c>
      <c r="H1289" s="1" t="s">
        <v>0</v>
      </c>
      <c r="I1289">
        <v>3</v>
      </c>
      <c r="J1289" t="s">
        <v>6</v>
      </c>
      <c r="K1289" t="s">
        <v>6</v>
      </c>
      <c r="L1289">
        <v>27.8</v>
      </c>
      <c r="M1289">
        <f t="shared" si="83"/>
        <v>1</v>
      </c>
    </row>
    <row r="1290" spans="1:13" x14ac:dyDescent="0.2">
      <c r="A1290" s="9">
        <v>44025</v>
      </c>
      <c r="B1290">
        <f t="shared" si="80"/>
        <v>13</v>
      </c>
      <c r="C1290">
        <f t="shared" si="81"/>
        <v>7</v>
      </c>
      <c r="D1290">
        <f t="shared" si="82"/>
        <v>2020</v>
      </c>
      <c r="E1290" s="11">
        <v>3.1309999999999998</v>
      </c>
      <c r="F1290" s="11">
        <v>101.54900000000001</v>
      </c>
      <c r="G1290" s="11">
        <v>27.4</v>
      </c>
      <c r="H1290" s="1" t="s">
        <v>0</v>
      </c>
      <c r="I1290">
        <v>4.0999999999999996</v>
      </c>
      <c r="J1290" t="s">
        <v>6</v>
      </c>
      <c r="K1290">
        <v>23.6</v>
      </c>
      <c r="L1290">
        <v>26.2</v>
      </c>
      <c r="M1290">
        <f t="shared" si="83"/>
        <v>1</v>
      </c>
    </row>
    <row r="1291" spans="1:13" x14ac:dyDescent="0.2">
      <c r="A1291" s="9">
        <v>44026</v>
      </c>
      <c r="B1291">
        <f t="shared" si="80"/>
        <v>14</v>
      </c>
      <c r="C1291">
        <f t="shared" si="81"/>
        <v>7</v>
      </c>
      <c r="D1291">
        <f t="shared" si="82"/>
        <v>2020</v>
      </c>
      <c r="E1291" s="11">
        <v>3.1309999999999998</v>
      </c>
      <c r="F1291" s="11">
        <v>101.54900000000001</v>
      </c>
      <c r="G1291" s="11">
        <v>27.4</v>
      </c>
      <c r="H1291" s="1" t="s">
        <v>0</v>
      </c>
      <c r="I1291">
        <v>2</v>
      </c>
      <c r="J1291" t="s">
        <v>6</v>
      </c>
      <c r="K1291">
        <v>23.9</v>
      </c>
      <c r="L1291">
        <v>28.3</v>
      </c>
      <c r="M1291">
        <f t="shared" si="83"/>
        <v>1</v>
      </c>
    </row>
    <row r="1292" spans="1:13" x14ac:dyDescent="0.2">
      <c r="A1292" s="9">
        <v>44027</v>
      </c>
      <c r="B1292">
        <f t="shared" si="80"/>
        <v>15</v>
      </c>
      <c r="C1292">
        <f t="shared" si="81"/>
        <v>7</v>
      </c>
      <c r="D1292">
        <f t="shared" si="82"/>
        <v>2020</v>
      </c>
      <c r="E1292" s="11">
        <v>3.1309999999999998</v>
      </c>
      <c r="F1292" s="11">
        <v>101.54900000000001</v>
      </c>
      <c r="G1292" s="11">
        <v>27.4</v>
      </c>
      <c r="H1292" s="1" t="s">
        <v>0</v>
      </c>
      <c r="I1292">
        <v>0</v>
      </c>
      <c r="J1292" t="s">
        <v>6</v>
      </c>
      <c r="K1292">
        <v>24.2</v>
      </c>
      <c r="L1292">
        <v>28.4</v>
      </c>
      <c r="M1292">
        <f t="shared" si="83"/>
        <v>0</v>
      </c>
    </row>
    <row r="1293" spans="1:13" x14ac:dyDescent="0.2">
      <c r="A1293" s="9">
        <v>44028</v>
      </c>
      <c r="B1293">
        <f t="shared" si="80"/>
        <v>16</v>
      </c>
      <c r="C1293">
        <f t="shared" si="81"/>
        <v>7</v>
      </c>
      <c r="D1293">
        <f t="shared" si="82"/>
        <v>2020</v>
      </c>
      <c r="E1293" s="11">
        <v>3.1309999999999998</v>
      </c>
      <c r="F1293" s="11">
        <v>101.54900000000001</v>
      </c>
      <c r="G1293" s="11">
        <v>27.4</v>
      </c>
      <c r="H1293" s="1" t="s">
        <v>0</v>
      </c>
      <c r="I1293">
        <v>0.8</v>
      </c>
      <c r="J1293" t="s">
        <v>6</v>
      </c>
      <c r="K1293" t="s">
        <v>6</v>
      </c>
      <c r="L1293">
        <v>26.8</v>
      </c>
      <c r="M1293">
        <f t="shared" si="83"/>
        <v>1</v>
      </c>
    </row>
    <row r="1294" spans="1:13" x14ac:dyDescent="0.2">
      <c r="A1294" s="9">
        <v>44029</v>
      </c>
      <c r="B1294">
        <f t="shared" si="80"/>
        <v>17</v>
      </c>
      <c r="C1294">
        <f t="shared" si="81"/>
        <v>7</v>
      </c>
      <c r="D1294">
        <f t="shared" si="82"/>
        <v>2020</v>
      </c>
      <c r="E1294" s="11">
        <v>3.1309999999999998</v>
      </c>
      <c r="F1294" s="11">
        <v>101.54900000000001</v>
      </c>
      <c r="G1294" s="11">
        <v>27.4</v>
      </c>
      <c r="H1294" s="1" t="s">
        <v>0</v>
      </c>
      <c r="I1294">
        <v>9.6999999999999993</v>
      </c>
      <c r="J1294" t="s">
        <v>6</v>
      </c>
      <c r="K1294">
        <v>24.3</v>
      </c>
      <c r="L1294">
        <v>27.3</v>
      </c>
      <c r="M1294">
        <f t="shared" si="83"/>
        <v>1</v>
      </c>
    </row>
    <row r="1295" spans="1:13" x14ac:dyDescent="0.2">
      <c r="A1295" s="9">
        <v>44030</v>
      </c>
      <c r="B1295">
        <f t="shared" si="80"/>
        <v>18</v>
      </c>
      <c r="C1295">
        <f t="shared" si="81"/>
        <v>7</v>
      </c>
      <c r="D1295">
        <f t="shared" si="82"/>
        <v>2020</v>
      </c>
      <c r="E1295" s="11">
        <v>3.1309999999999998</v>
      </c>
      <c r="F1295" s="11">
        <v>101.54900000000001</v>
      </c>
      <c r="G1295" s="11">
        <v>27.4</v>
      </c>
      <c r="H1295" s="1" t="s">
        <v>0</v>
      </c>
      <c r="I1295">
        <v>44.7</v>
      </c>
      <c r="J1295" t="s">
        <v>6</v>
      </c>
      <c r="K1295" t="s">
        <v>6</v>
      </c>
      <c r="L1295">
        <v>27.1</v>
      </c>
      <c r="M1295">
        <f t="shared" si="83"/>
        <v>1</v>
      </c>
    </row>
    <row r="1296" spans="1:13" x14ac:dyDescent="0.2">
      <c r="A1296" s="9">
        <v>44031</v>
      </c>
      <c r="B1296">
        <f t="shared" si="80"/>
        <v>19</v>
      </c>
      <c r="C1296">
        <f t="shared" si="81"/>
        <v>7</v>
      </c>
      <c r="D1296">
        <f t="shared" si="82"/>
        <v>2020</v>
      </c>
      <c r="E1296" s="11">
        <v>3.1309999999999998</v>
      </c>
      <c r="F1296" s="11">
        <v>101.54900000000001</v>
      </c>
      <c r="G1296" s="11">
        <v>27.4</v>
      </c>
      <c r="H1296" s="1" t="s">
        <v>0</v>
      </c>
      <c r="I1296">
        <v>28.4</v>
      </c>
      <c r="J1296" t="s">
        <v>6</v>
      </c>
      <c r="K1296" t="s">
        <v>6</v>
      </c>
      <c r="L1296">
        <v>28.3</v>
      </c>
      <c r="M1296">
        <f t="shared" si="83"/>
        <v>1</v>
      </c>
    </row>
    <row r="1297" spans="1:13" x14ac:dyDescent="0.2">
      <c r="A1297" s="9">
        <v>44032</v>
      </c>
      <c r="B1297">
        <f t="shared" si="80"/>
        <v>20</v>
      </c>
      <c r="C1297">
        <f t="shared" si="81"/>
        <v>7</v>
      </c>
      <c r="D1297">
        <f t="shared" si="82"/>
        <v>2020</v>
      </c>
      <c r="E1297" s="11">
        <v>3.1309999999999998</v>
      </c>
      <c r="F1297" s="11">
        <v>101.54900000000001</v>
      </c>
      <c r="G1297" s="11">
        <v>27.4</v>
      </c>
      <c r="H1297" s="1" t="s">
        <v>0</v>
      </c>
      <c r="I1297">
        <v>0</v>
      </c>
      <c r="J1297" t="s">
        <v>6</v>
      </c>
      <c r="K1297">
        <v>24.4</v>
      </c>
      <c r="L1297">
        <v>29</v>
      </c>
      <c r="M1297">
        <f t="shared" si="83"/>
        <v>0</v>
      </c>
    </row>
    <row r="1298" spans="1:13" x14ac:dyDescent="0.2">
      <c r="A1298" s="9">
        <v>44033</v>
      </c>
      <c r="B1298">
        <f t="shared" si="80"/>
        <v>21</v>
      </c>
      <c r="C1298">
        <f t="shared" si="81"/>
        <v>7</v>
      </c>
      <c r="D1298">
        <f t="shared" si="82"/>
        <v>2020</v>
      </c>
      <c r="E1298" s="11">
        <v>3.1309999999999998</v>
      </c>
      <c r="F1298" s="11">
        <v>101.54900000000001</v>
      </c>
      <c r="G1298" s="11">
        <v>27.4</v>
      </c>
      <c r="H1298" s="1" t="s">
        <v>0</v>
      </c>
      <c r="I1298">
        <v>0.8</v>
      </c>
      <c r="J1298" t="s">
        <v>6</v>
      </c>
      <c r="K1298" t="s">
        <v>6</v>
      </c>
      <c r="L1298">
        <v>28.7</v>
      </c>
      <c r="M1298">
        <f t="shared" si="83"/>
        <v>1</v>
      </c>
    </row>
    <row r="1299" spans="1:13" x14ac:dyDescent="0.2">
      <c r="A1299" s="9">
        <v>44034</v>
      </c>
      <c r="B1299">
        <f t="shared" si="80"/>
        <v>22</v>
      </c>
      <c r="C1299">
        <f t="shared" si="81"/>
        <v>7</v>
      </c>
      <c r="D1299">
        <f t="shared" si="82"/>
        <v>2020</v>
      </c>
      <c r="E1299" s="11">
        <v>3.1309999999999998</v>
      </c>
      <c r="F1299" s="11">
        <v>101.54900000000001</v>
      </c>
      <c r="G1299" s="11">
        <v>27.4</v>
      </c>
      <c r="H1299" s="1" t="s">
        <v>0</v>
      </c>
      <c r="I1299">
        <v>22.1</v>
      </c>
      <c r="J1299" t="s">
        <v>6</v>
      </c>
      <c r="K1299">
        <v>24</v>
      </c>
      <c r="L1299">
        <v>26.6</v>
      </c>
      <c r="M1299">
        <f t="shared" si="83"/>
        <v>1</v>
      </c>
    </row>
    <row r="1300" spans="1:13" x14ac:dyDescent="0.2">
      <c r="A1300" s="9">
        <v>44035</v>
      </c>
      <c r="B1300">
        <f t="shared" si="80"/>
        <v>23</v>
      </c>
      <c r="C1300">
        <f t="shared" si="81"/>
        <v>7</v>
      </c>
      <c r="D1300">
        <f t="shared" si="82"/>
        <v>2020</v>
      </c>
      <c r="E1300" s="11">
        <v>3.1309999999999998</v>
      </c>
      <c r="F1300" s="11">
        <v>101.54900000000001</v>
      </c>
      <c r="G1300" s="11">
        <v>27.4</v>
      </c>
      <c r="H1300" s="1" t="s">
        <v>0</v>
      </c>
      <c r="I1300">
        <v>27.9</v>
      </c>
      <c r="J1300" t="s">
        <v>6</v>
      </c>
      <c r="K1300" t="s">
        <v>6</v>
      </c>
      <c r="L1300">
        <v>26.3</v>
      </c>
      <c r="M1300">
        <f t="shared" si="83"/>
        <v>1</v>
      </c>
    </row>
    <row r="1301" spans="1:13" x14ac:dyDescent="0.2">
      <c r="A1301" s="9">
        <v>44036</v>
      </c>
      <c r="B1301">
        <f t="shared" si="80"/>
        <v>24</v>
      </c>
      <c r="C1301">
        <f t="shared" si="81"/>
        <v>7</v>
      </c>
      <c r="D1301">
        <f t="shared" si="82"/>
        <v>2020</v>
      </c>
      <c r="E1301" s="11">
        <v>3.1309999999999998</v>
      </c>
      <c r="F1301" s="11">
        <v>101.54900000000001</v>
      </c>
      <c r="G1301" s="11">
        <v>27.4</v>
      </c>
      <c r="H1301" s="1" t="s">
        <v>0</v>
      </c>
      <c r="I1301">
        <v>1.5</v>
      </c>
      <c r="J1301" t="s">
        <v>6</v>
      </c>
      <c r="K1301" t="s">
        <v>6</v>
      </c>
      <c r="L1301">
        <v>26.4</v>
      </c>
      <c r="M1301">
        <f t="shared" si="83"/>
        <v>1</v>
      </c>
    </row>
    <row r="1302" spans="1:13" x14ac:dyDescent="0.2">
      <c r="A1302" s="9">
        <v>44037</v>
      </c>
      <c r="B1302">
        <f t="shared" si="80"/>
        <v>25</v>
      </c>
      <c r="C1302">
        <f t="shared" si="81"/>
        <v>7</v>
      </c>
      <c r="D1302">
        <f t="shared" si="82"/>
        <v>2020</v>
      </c>
      <c r="E1302" s="11">
        <v>3.1309999999999998</v>
      </c>
      <c r="F1302" s="11">
        <v>101.54900000000001</v>
      </c>
      <c r="G1302" s="11">
        <v>27.4</v>
      </c>
      <c r="H1302" s="1" t="s">
        <v>0</v>
      </c>
      <c r="I1302">
        <v>82</v>
      </c>
      <c r="J1302" t="s">
        <v>6</v>
      </c>
      <c r="K1302">
        <v>22.9</v>
      </c>
      <c r="L1302">
        <v>27.4</v>
      </c>
      <c r="M1302">
        <f t="shared" si="83"/>
        <v>1</v>
      </c>
    </row>
    <row r="1303" spans="1:13" x14ac:dyDescent="0.2">
      <c r="A1303" s="9">
        <v>44038</v>
      </c>
      <c r="B1303">
        <f t="shared" si="80"/>
        <v>26</v>
      </c>
      <c r="C1303">
        <f t="shared" si="81"/>
        <v>7</v>
      </c>
      <c r="D1303">
        <f t="shared" si="82"/>
        <v>2020</v>
      </c>
      <c r="E1303" s="11">
        <v>3.1309999999999998</v>
      </c>
      <c r="F1303" s="11">
        <v>101.54900000000001</v>
      </c>
      <c r="G1303" s="11">
        <v>27.4</v>
      </c>
      <c r="H1303" s="1" t="s">
        <v>0</v>
      </c>
      <c r="I1303">
        <v>1</v>
      </c>
      <c r="J1303" t="s">
        <v>6</v>
      </c>
      <c r="K1303">
        <v>24.4</v>
      </c>
      <c r="L1303">
        <v>29.2</v>
      </c>
      <c r="M1303">
        <f t="shared" si="83"/>
        <v>1</v>
      </c>
    </row>
    <row r="1304" spans="1:13" x14ac:dyDescent="0.2">
      <c r="A1304" s="9">
        <v>44039</v>
      </c>
      <c r="B1304">
        <f t="shared" si="80"/>
        <v>27</v>
      </c>
      <c r="C1304">
        <f t="shared" si="81"/>
        <v>7</v>
      </c>
      <c r="D1304">
        <f t="shared" si="82"/>
        <v>2020</v>
      </c>
      <c r="E1304" s="11">
        <v>3.1309999999999998</v>
      </c>
      <c r="F1304" s="11">
        <v>101.54900000000001</v>
      </c>
      <c r="G1304" s="11">
        <v>27.4</v>
      </c>
      <c r="H1304" s="1" t="s">
        <v>0</v>
      </c>
      <c r="I1304">
        <v>0</v>
      </c>
      <c r="J1304" t="s">
        <v>6</v>
      </c>
      <c r="K1304" t="s">
        <v>6</v>
      </c>
      <c r="L1304">
        <v>27.2</v>
      </c>
      <c r="M1304">
        <f t="shared" si="83"/>
        <v>0</v>
      </c>
    </row>
    <row r="1305" spans="1:13" x14ac:dyDescent="0.2">
      <c r="A1305" s="9">
        <v>44040</v>
      </c>
      <c r="B1305">
        <f t="shared" si="80"/>
        <v>28</v>
      </c>
      <c r="C1305">
        <f t="shared" si="81"/>
        <v>7</v>
      </c>
      <c r="D1305">
        <f t="shared" si="82"/>
        <v>2020</v>
      </c>
      <c r="E1305" s="11">
        <v>3.1309999999999998</v>
      </c>
      <c r="F1305" s="11">
        <v>101.54900000000001</v>
      </c>
      <c r="G1305" s="11">
        <v>27.4</v>
      </c>
      <c r="H1305" s="1" t="s">
        <v>0</v>
      </c>
      <c r="I1305">
        <v>13.7</v>
      </c>
      <c r="J1305" t="s">
        <v>6</v>
      </c>
      <c r="K1305">
        <v>24.6</v>
      </c>
      <c r="L1305">
        <v>27.6</v>
      </c>
      <c r="M1305">
        <f t="shared" si="83"/>
        <v>1</v>
      </c>
    </row>
    <row r="1306" spans="1:13" x14ac:dyDescent="0.2">
      <c r="A1306" s="9">
        <v>44041</v>
      </c>
      <c r="B1306">
        <f t="shared" si="80"/>
        <v>29</v>
      </c>
      <c r="C1306">
        <f t="shared" si="81"/>
        <v>7</v>
      </c>
      <c r="D1306">
        <f t="shared" si="82"/>
        <v>2020</v>
      </c>
      <c r="E1306" s="11">
        <v>3.1309999999999998</v>
      </c>
      <c r="F1306" s="11">
        <v>101.54900000000001</v>
      </c>
      <c r="G1306" s="11">
        <v>27.4</v>
      </c>
      <c r="H1306" s="1" t="s">
        <v>0</v>
      </c>
      <c r="I1306">
        <v>5.0999999999999996</v>
      </c>
      <c r="J1306" t="s">
        <v>6</v>
      </c>
      <c r="K1306">
        <v>24.4</v>
      </c>
      <c r="L1306">
        <v>28.4</v>
      </c>
      <c r="M1306">
        <f t="shared" si="83"/>
        <v>1</v>
      </c>
    </row>
    <row r="1307" spans="1:13" x14ac:dyDescent="0.2">
      <c r="A1307" s="9">
        <v>44042</v>
      </c>
      <c r="B1307">
        <f t="shared" si="80"/>
        <v>30</v>
      </c>
      <c r="C1307">
        <f t="shared" si="81"/>
        <v>7</v>
      </c>
      <c r="D1307">
        <f t="shared" si="82"/>
        <v>2020</v>
      </c>
      <c r="E1307" s="11">
        <v>3.1309999999999998</v>
      </c>
      <c r="F1307" s="11">
        <v>101.54900000000001</v>
      </c>
      <c r="G1307" s="11">
        <v>27.4</v>
      </c>
      <c r="H1307" s="1" t="s">
        <v>0</v>
      </c>
      <c r="I1307">
        <v>0</v>
      </c>
      <c r="J1307">
        <v>34.200000000000003</v>
      </c>
      <c r="K1307" t="s">
        <v>6</v>
      </c>
      <c r="L1307">
        <v>29.6</v>
      </c>
      <c r="M1307">
        <f t="shared" si="83"/>
        <v>0</v>
      </c>
    </row>
    <row r="1308" spans="1:13" x14ac:dyDescent="0.2">
      <c r="A1308" s="9">
        <v>44043</v>
      </c>
      <c r="B1308">
        <f t="shared" si="80"/>
        <v>31</v>
      </c>
      <c r="C1308">
        <f t="shared" si="81"/>
        <v>7</v>
      </c>
      <c r="D1308">
        <f t="shared" si="82"/>
        <v>2020</v>
      </c>
      <c r="E1308" s="11">
        <v>3.1309999999999998</v>
      </c>
      <c r="F1308" s="11">
        <v>101.54900000000001</v>
      </c>
      <c r="G1308" s="11">
        <v>27.4</v>
      </c>
      <c r="H1308" s="1" t="s">
        <v>0</v>
      </c>
      <c r="I1308">
        <v>33</v>
      </c>
      <c r="J1308" t="s">
        <v>6</v>
      </c>
      <c r="K1308">
        <v>23.3</v>
      </c>
      <c r="L1308">
        <v>27.1</v>
      </c>
      <c r="M1308">
        <f t="shared" si="83"/>
        <v>1</v>
      </c>
    </row>
    <row r="1309" spans="1:13" x14ac:dyDescent="0.2">
      <c r="A1309" s="9">
        <v>44044</v>
      </c>
      <c r="B1309">
        <f t="shared" si="80"/>
        <v>1</v>
      </c>
      <c r="C1309">
        <f t="shared" si="81"/>
        <v>8</v>
      </c>
      <c r="D1309">
        <f t="shared" si="82"/>
        <v>2020</v>
      </c>
      <c r="E1309" s="11">
        <v>3.1309999999999998</v>
      </c>
      <c r="F1309" s="11">
        <v>101.54900000000001</v>
      </c>
      <c r="G1309" s="11">
        <v>27.4</v>
      </c>
      <c r="H1309" s="1" t="s">
        <v>0</v>
      </c>
      <c r="I1309">
        <v>2</v>
      </c>
      <c r="J1309" t="s">
        <v>6</v>
      </c>
      <c r="K1309">
        <v>23.7</v>
      </c>
      <c r="L1309">
        <v>28.9</v>
      </c>
      <c r="M1309">
        <f t="shared" si="83"/>
        <v>1</v>
      </c>
    </row>
    <row r="1310" spans="1:13" x14ac:dyDescent="0.2">
      <c r="A1310" s="9">
        <v>44045</v>
      </c>
      <c r="B1310">
        <f t="shared" si="80"/>
        <v>2</v>
      </c>
      <c r="C1310">
        <f t="shared" si="81"/>
        <v>8</v>
      </c>
      <c r="D1310">
        <f t="shared" si="82"/>
        <v>2020</v>
      </c>
      <c r="E1310" s="11">
        <v>3.1309999999999998</v>
      </c>
      <c r="F1310" s="11">
        <v>101.54900000000001</v>
      </c>
      <c r="G1310" s="11">
        <v>27.4</v>
      </c>
      <c r="H1310" s="1" t="s">
        <v>0</v>
      </c>
      <c r="I1310">
        <v>0</v>
      </c>
      <c r="J1310" t="s">
        <v>6</v>
      </c>
      <c r="K1310">
        <v>25.7</v>
      </c>
      <c r="L1310">
        <v>29.2</v>
      </c>
      <c r="M1310">
        <f t="shared" si="83"/>
        <v>0</v>
      </c>
    </row>
    <row r="1311" spans="1:13" x14ac:dyDescent="0.2">
      <c r="A1311" s="9">
        <v>44046</v>
      </c>
      <c r="B1311">
        <f t="shared" si="80"/>
        <v>3</v>
      </c>
      <c r="C1311">
        <f t="shared" si="81"/>
        <v>8</v>
      </c>
      <c r="D1311">
        <f t="shared" si="82"/>
        <v>2020</v>
      </c>
      <c r="E1311" s="11">
        <v>3.1309999999999998</v>
      </c>
      <c r="F1311" s="11">
        <v>101.54900000000001</v>
      </c>
      <c r="G1311" s="11">
        <v>27.4</v>
      </c>
      <c r="H1311" s="1" t="s">
        <v>0</v>
      </c>
      <c r="I1311" t="s">
        <v>6</v>
      </c>
      <c r="J1311" t="s">
        <v>6</v>
      </c>
      <c r="K1311" t="s">
        <v>6</v>
      </c>
      <c r="L1311">
        <v>29.1</v>
      </c>
      <c r="M1311" t="str">
        <f t="shared" si="83"/>
        <v/>
      </c>
    </row>
    <row r="1312" spans="1:13" x14ac:dyDescent="0.2">
      <c r="A1312" s="9">
        <v>44047</v>
      </c>
      <c r="B1312">
        <f t="shared" si="80"/>
        <v>4</v>
      </c>
      <c r="C1312">
        <f t="shared" si="81"/>
        <v>8</v>
      </c>
      <c r="D1312">
        <f t="shared" si="82"/>
        <v>2020</v>
      </c>
      <c r="E1312" s="11">
        <v>3.1309999999999998</v>
      </c>
      <c r="F1312" s="11">
        <v>101.54900000000001</v>
      </c>
      <c r="G1312" s="11">
        <v>27.4</v>
      </c>
      <c r="H1312" s="1" t="s">
        <v>0</v>
      </c>
      <c r="I1312">
        <v>0</v>
      </c>
      <c r="J1312" t="s">
        <v>6</v>
      </c>
      <c r="K1312">
        <v>25.1</v>
      </c>
      <c r="L1312">
        <v>29.2</v>
      </c>
      <c r="M1312">
        <f t="shared" si="83"/>
        <v>0</v>
      </c>
    </row>
    <row r="1313" spans="1:13" x14ac:dyDescent="0.2">
      <c r="A1313" s="9">
        <v>44048</v>
      </c>
      <c r="B1313">
        <f t="shared" si="80"/>
        <v>5</v>
      </c>
      <c r="C1313">
        <f t="shared" si="81"/>
        <v>8</v>
      </c>
      <c r="D1313">
        <f t="shared" si="82"/>
        <v>2020</v>
      </c>
      <c r="E1313" s="11">
        <v>3.1309999999999998</v>
      </c>
      <c r="F1313" s="11">
        <v>101.54900000000001</v>
      </c>
      <c r="G1313" s="11">
        <v>27.4</v>
      </c>
      <c r="H1313" s="1" t="s">
        <v>0</v>
      </c>
      <c r="I1313" t="s">
        <v>6</v>
      </c>
      <c r="J1313" t="s">
        <v>6</v>
      </c>
      <c r="K1313">
        <v>25.6</v>
      </c>
      <c r="L1313">
        <v>29.6</v>
      </c>
      <c r="M1313" t="str">
        <f t="shared" si="83"/>
        <v/>
      </c>
    </row>
    <row r="1314" spans="1:13" x14ac:dyDescent="0.2">
      <c r="A1314" s="9">
        <v>44049</v>
      </c>
      <c r="B1314">
        <f t="shared" si="80"/>
        <v>6</v>
      </c>
      <c r="C1314">
        <f t="shared" si="81"/>
        <v>8</v>
      </c>
      <c r="D1314">
        <f t="shared" si="82"/>
        <v>2020</v>
      </c>
      <c r="E1314" s="11">
        <v>3.1309999999999998</v>
      </c>
      <c r="F1314" s="11">
        <v>101.54900000000001</v>
      </c>
      <c r="G1314" s="11">
        <v>27.4</v>
      </c>
      <c r="H1314" s="1" t="s">
        <v>0</v>
      </c>
      <c r="I1314">
        <v>0</v>
      </c>
      <c r="J1314" t="s">
        <v>6</v>
      </c>
      <c r="K1314">
        <v>26.4</v>
      </c>
      <c r="L1314">
        <v>30.5</v>
      </c>
      <c r="M1314">
        <f t="shared" si="83"/>
        <v>0</v>
      </c>
    </row>
    <row r="1315" spans="1:13" x14ac:dyDescent="0.2">
      <c r="A1315" s="9">
        <v>44050</v>
      </c>
      <c r="B1315">
        <f t="shared" si="80"/>
        <v>7</v>
      </c>
      <c r="C1315">
        <f t="shared" si="81"/>
        <v>8</v>
      </c>
      <c r="D1315">
        <f t="shared" si="82"/>
        <v>2020</v>
      </c>
      <c r="E1315" s="11">
        <v>3.1309999999999998</v>
      </c>
      <c r="F1315" s="11">
        <v>101.54900000000001</v>
      </c>
      <c r="G1315" s="11">
        <v>27.4</v>
      </c>
      <c r="H1315" s="1" t="s">
        <v>0</v>
      </c>
      <c r="I1315">
        <v>0</v>
      </c>
      <c r="J1315" t="s">
        <v>6</v>
      </c>
      <c r="K1315">
        <v>27</v>
      </c>
      <c r="L1315">
        <v>30.6</v>
      </c>
      <c r="M1315">
        <f t="shared" si="83"/>
        <v>0</v>
      </c>
    </row>
    <row r="1316" spans="1:13" x14ac:dyDescent="0.2">
      <c r="A1316" s="9">
        <v>44051</v>
      </c>
      <c r="B1316">
        <f t="shared" si="80"/>
        <v>8</v>
      </c>
      <c r="C1316">
        <f t="shared" si="81"/>
        <v>8</v>
      </c>
      <c r="D1316">
        <f t="shared" si="82"/>
        <v>2020</v>
      </c>
      <c r="E1316" s="11">
        <v>3.1309999999999998</v>
      </c>
      <c r="F1316" s="11">
        <v>101.54900000000001</v>
      </c>
      <c r="G1316" s="11">
        <v>27.4</v>
      </c>
      <c r="H1316" s="1" t="s">
        <v>0</v>
      </c>
      <c r="I1316">
        <v>0</v>
      </c>
      <c r="J1316" t="s">
        <v>6</v>
      </c>
      <c r="K1316" t="s">
        <v>6</v>
      </c>
      <c r="L1316">
        <v>30.6</v>
      </c>
      <c r="M1316">
        <f t="shared" si="83"/>
        <v>0</v>
      </c>
    </row>
    <row r="1317" spans="1:13" x14ac:dyDescent="0.2">
      <c r="A1317" s="9">
        <v>44052</v>
      </c>
      <c r="B1317">
        <f t="shared" si="80"/>
        <v>9</v>
      </c>
      <c r="C1317">
        <f t="shared" si="81"/>
        <v>8</v>
      </c>
      <c r="D1317">
        <f t="shared" si="82"/>
        <v>2020</v>
      </c>
      <c r="E1317" s="11">
        <v>3.1309999999999998</v>
      </c>
      <c r="F1317" s="11">
        <v>101.54900000000001</v>
      </c>
      <c r="G1317" s="11">
        <v>27.4</v>
      </c>
      <c r="H1317" s="1" t="s">
        <v>0</v>
      </c>
      <c r="I1317" t="s">
        <v>6</v>
      </c>
      <c r="J1317" t="s">
        <v>6</v>
      </c>
      <c r="K1317" t="s">
        <v>6</v>
      </c>
      <c r="L1317">
        <v>29.5</v>
      </c>
      <c r="M1317" t="str">
        <f t="shared" si="83"/>
        <v/>
      </c>
    </row>
    <row r="1318" spans="1:13" x14ac:dyDescent="0.2">
      <c r="A1318" s="9">
        <v>44053</v>
      </c>
      <c r="B1318">
        <f t="shared" si="80"/>
        <v>10</v>
      </c>
      <c r="C1318">
        <f t="shared" si="81"/>
        <v>8</v>
      </c>
      <c r="D1318">
        <f t="shared" si="82"/>
        <v>2020</v>
      </c>
      <c r="E1318" s="11">
        <v>3.1309999999999998</v>
      </c>
      <c r="F1318" s="11">
        <v>101.54900000000001</v>
      </c>
      <c r="G1318" s="11">
        <v>27.4</v>
      </c>
      <c r="H1318" s="1" t="s">
        <v>0</v>
      </c>
      <c r="I1318" t="s">
        <v>6</v>
      </c>
      <c r="J1318">
        <v>35.700000000000003</v>
      </c>
      <c r="K1318">
        <v>25</v>
      </c>
      <c r="L1318">
        <v>30.9</v>
      </c>
      <c r="M1318" t="str">
        <f t="shared" si="83"/>
        <v/>
      </c>
    </row>
    <row r="1319" spans="1:13" x14ac:dyDescent="0.2">
      <c r="A1319" s="9">
        <v>44054</v>
      </c>
      <c r="B1319">
        <f t="shared" si="80"/>
        <v>11</v>
      </c>
      <c r="C1319">
        <f t="shared" si="81"/>
        <v>8</v>
      </c>
      <c r="D1319">
        <f t="shared" si="82"/>
        <v>2020</v>
      </c>
      <c r="E1319" s="11">
        <v>3.1309999999999998</v>
      </c>
      <c r="F1319" s="11">
        <v>101.54900000000001</v>
      </c>
      <c r="G1319" s="11">
        <v>27.4</v>
      </c>
      <c r="H1319" s="1" t="s">
        <v>0</v>
      </c>
      <c r="I1319" t="s">
        <v>6</v>
      </c>
      <c r="J1319" t="s">
        <v>6</v>
      </c>
      <c r="K1319">
        <v>25.6</v>
      </c>
      <c r="L1319">
        <v>29.3</v>
      </c>
      <c r="M1319" t="str">
        <f t="shared" si="83"/>
        <v/>
      </c>
    </row>
    <row r="1320" spans="1:13" x14ac:dyDescent="0.2">
      <c r="A1320" s="9">
        <v>44055</v>
      </c>
      <c r="B1320">
        <f t="shared" si="80"/>
        <v>12</v>
      </c>
      <c r="C1320">
        <f t="shared" si="81"/>
        <v>8</v>
      </c>
      <c r="D1320">
        <f t="shared" si="82"/>
        <v>2020</v>
      </c>
      <c r="E1320" s="11">
        <v>3.1309999999999998</v>
      </c>
      <c r="F1320" s="11">
        <v>101.54900000000001</v>
      </c>
      <c r="G1320" s="11">
        <v>27.4</v>
      </c>
      <c r="H1320" s="1" t="s">
        <v>0</v>
      </c>
      <c r="I1320">
        <v>0</v>
      </c>
      <c r="J1320" t="s">
        <v>6</v>
      </c>
      <c r="K1320" t="s">
        <v>6</v>
      </c>
      <c r="L1320">
        <v>27.1</v>
      </c>
      <c r="M1320">
        <f t="shared" si="83"/>
        <v>0</v>
      </c>
    </row>
    <row r="1321" spans="1:13" x14ac:dyDescent="0.2">
      <c r="A1321" s="9">
        <v>44056</v>
      </c>
      <c r="B1321">
        <f t="shared" si="80"/>
        <v>13</v>
      </c>
      <c r="C1321">
        <f t="shared" si="81"/>
        <v>8</v>
      </c>
      <c r="D1321">
        <f t="shared" si="82"/>
        <v>2020</v>
      </c>
      <c r="E1321" s="11">
        <v>3.1309999999999998</v>
      </c>
      <c r="F1321" s="11">
        <v>101.54900000000001</v>
      </c>
      <c r="G1321" s="11">
        <v>27.4</v>
      </c>
      <c r="H1321" s="1" t="s">
        <v>0</v>
      </c>
      <c r="I1321">
        <v>0.5</v>
      </c>
      <c r="J1321" t="s">
        <v>6</v>
      </c>
      <c r="K1321" t="s">
        <v>6</v>
      </c>
      <c r="L1321">
        <v>29.4</v>
      </c>
      <c r="M1321">
        <f t="shared" si="83"/>
        <v>1</v>
      </c>
    </row>
    <row r="1322" spans="1:13" x14ac:dyDescent="0.2">
      <c r="A1322" s="9">
        <v>44057</v>
      </c>
      <c r="B1322">
        <f t="shared" si="80"/>
        <v>14</v>
      </c>
      <c r="C1322">
        <f t="shared" si="81"/>
        <v>8</v>
      </c>
      <c r="D1322">
        <f t="shared" si="82"/>
        <v>2020</v>
      </c>
      <c r="E1322" s="11">
        <v>3.1309999999999998</v>
      </c>
      <c r="F1322" s="11">
        <v>101.54900000000001</v>
      </c>
      <c r="G1322" s="11">
        <v>27.4</v>
      </c>
      <c r="H1322" s="1" t="s">
        <v>0</v>
      </c>
      <c r="I1322">
        <v>5.0999999999999996</v>
      </c>
      <c r="J1322" t="s">
        <v>6</v>
      </c>
      <c r="K1322">
        <v>23.8</v>
      </c>
      <c r="L1322">
        <v>28.5</v>
      </c>
      <c r="M1322">
        <f t="shared" si="83"/>
        <v>1</v>
      </c>
    </row>
    <row r="1323" spans="1:13" x14ac:dyDescent="0.2">
      <c r="A1323" s="9">
        <v>44058</v>
      </c>
      <c r="B1323">
        <f t="shared" si="80"/>
        <v>15</v>
      </c>
      <c r="C1323">
        <f t="shared" si="81"/>
        <v>8</v>
      </c>
      <c r="D1323">
        <f t="shared" si="82"/>
        <v>2020</v>
      </c>
      <c r="E1323" s="11">
        <v>3.1309999999999998</v>
      </c>
      <c r="F1323" s="11">
        <v>101.54900000000001</v>
      </c>
      <c r="G1323" s="11">
        <v>27.4</v>
      </c>
      <c r="H1323" s="1" t="s">
        <v>0</v>
      </c>
      <c r="I1323">
        <v>0.3</v>
      </c>
      <c r="J1323" t="s">
        <v>6</v>
      </c>
      <c r="K1323">
        <v>24.2</v>
      </c>
      <c r="L1323">
        <v>28.4</v>
      </c>
      <c r="M1323">
        <f t="shared" si="83"/>
        <v>1</v>
      </c>
    </row>
    <row r="1324" spans="1:13" x14ac:dyDescent="0.2">
      <c r="A1324" s="9">
        <v>44059</v>
      </c>
      <c r="B1324">
        <f t="shared" si="80"/>
        <v>16</v>
      </c>
      <c r="C1324">
        <f t="shared" si="81"/>
        <v>8</v>
      </c>
      <c r="D1324">
        <f t="shared" si="82"/>
        <v>2020</v>
      </c>
      <c r="E1324" s="11">
        <v>3.1309999999999998</v>
      </c>
      <c r="F1324" s="11">
        <v>101.54900000000001</v>
      </c>
      <c r="G1324" s="11">
        <v>27.4</v>
      </c>
      <c r="H1324" s="1" t="s">
        <v>0</v>
      </c>
      <c r="I1324">
        <v>31.2</v>
      </c>
      <c r="J1324" t="s">
        <v>6</v>
      </c>
      <c r="K1324" t="s">
        <v>6</v>
      </c>
      <c r="L1324">
        <v>26.9</v>
      </c>
      <c r="M1324">
        <f t="shared" si="83"/>
        <v>1</v>
      </c>
    </row>
    <row r="1325" spans="1:13" x14ac:dyDescent="0.2">
      <c r="A1325" s="9">
        <v>44060</v>
      </c>
      <c r="B1325">
        <f t="shared" si="80"/>
        <v>17</v>
      </c>
      <c r="C1325">
        <f t="shared" si="81"/>
        <v>8</v>
      </c>
      <c r="D1325">
        <f t="shared" si="82"/>
        <v>2020</v>
      </c>
      <c r="E1325" s="11">
        <v>3.1309999999999998</v>
      </c>
      <c r="F1325" s="11">
        <v>101.54900000000001</v>
      </c>
      <c r="G1325" s="11">
        <v>27.4</v>
      </c>
      <c r="H1325" s="1" t="s">
        <v>0</v>
      </c>
      <c r="I1325">
        <v>2.8</v>
      </c>
      <c r="J1325" t="s">
        <v>6</v>
      </c>
      <c r="K1325">
        <v>25</v>
      </c>
      <c r="L1325">
        <v>28.3</v>
      </c>
      <c r="M1325">
        <f t="shared" si="83"/>
        <v>1</v>
      </c>
    </row>
    <row r="1326" spans="1:13" x14ac:dyDescent="0.2">
      <c r="A1326" s="9">
        <v>44061</v>
      </c>
      <c r="B1326">
        <f t="shared" si="80"/>
        <v>18</v>
      </c>
      <c r="C1326">
        <f t="shared" si="81"/>
        <v>8</v>
      </c>
      <c r="D1326">
        <f t="shared" si="82"/>
        <v>2020</v>
      </c>
      <c r="E1326" s="11">
        <v>3.1309999999999998</v>
      </c>
      <c r="F1326" s="11">
        <v>101.54900000000001</v>
      </c>
      <c r="G1326" s="11">
        <v>27.4</v>
      </c>
      <c r="H1326" s="1" t="s">
        <v>0</v>
      </c>
      <c r="I1326">
        <v>0</v>
      </c>
      <c r="J1326" t="s">
        <v>6</v>
      </c>
      <c r="K1326" t="s">
        <v>6</v>
      </c>
      <c r="L1326">
        <v>28</v>
      </c>
      <c r="M1326">
        <f t="shared" si="83"/>
        <v>0</v>
      </c>
    </row>
    <row r="1327" spans="1:13" x14ac:dyDescent="0.2">
      <c r="A1327" s="9">
        <v>44062</v>
      </c>
      <c r="B1327">
        <f t="shared" si="80"/>
        <v>19</v>
      </c>
      <c r="C1327">
        <f t="shared" si="81"/>
        <v>8</v>
      </c>
      <c r="D1327">
        <f t="shared" si="82"/>
        <v>2020</v>
      </c>
      <c r="E1327" s="11">
        <v>3.1309999999999998</v>
      </c>
      <c r="F1327" s="11">
        <v>101.54900000000001</v>
      </c>
      <c r="G1327" s="11">
        <v>27.4</v>
      </c>
      <c r="H1327" s="1" t="s">
        <v>0</v>
      </c>
      <c r="I1327">
        <v>0</v>
      </c>
      <c r="J1327" t="s">
        <v>6</v>
      </c>
      <c r="K1327">
        <v>24.9</v>
      </c>
      <c r="L1327">
        <v>27</v>
      </c>
      <c r="M1327">
        <f t="shared" si="83"/>
        <v>0</v>
      </c>
    </row>
    <row r="1328" spans="1:13" x14ac:dyDescent="0.2">
      <c r="A1328" s="9">
        <v>44063</v>
      </c>
      <c r="B1328">
        <f t="shared" si="80"/>
        <v>20</v>
      </c>
      <c r="C1328">
        <f t="shared" si="81"/>
        <v>8</v>
      </c>
      <c r="D1328">
        <f t="shared" si="82"/>
        <v>2020</v>
      </c>
      <c r="E1328" s="11">
        <v>3.1309999999999998</v>
      </c>
      <c r="F1328" s="11">
        <v>101.54900000000001</v>
      </c>
      <c r="G1328" s="11">
        <v>27.4</v>
      </c>
      <c r="H1328" s="1" t="s">
        <v>0</v>
      </c>
      <c r="I1328">
        <v>0.5</v>
      </c>
      <c r="J1328" t="s">
        <v>6</v>
      </c>
      <c r="K1328">
        <v>25</v>
      </c>
      <c r="L1328">
        <v>29.1</v>
      </c>
      <c r="M1328">
        <f t="shared" si="83"/>
        <v>1</v>
      </c>
    </row>
    <row r="1329" spans="1:13" x14ac:dyDescent="0.2">
      <c r="A1329" s="9">
        <v>44064</v>
      </c>
      <c r="B1329">
        <f t="shared" si="80"/>
        <v>21</v>
      </c>
      <c r="C1329">
        <f t="shared" si="81"/>
        <v>8</v>
      </c>
      <c r="D1329">
        <f t="shared" si="82"/>
        <v>2020</v>
      </c>
      <c r="E1329" s="11">
        <v>3.1309999999999998</v>
      </c>
      <c r="F1329" s="11">
        <v>101.54900000000001</v>
      </c>
      <c r="G1329" s="11">
        <v>27.4</v>
      </c>
      <c r="H1329" s="1" t="s">
        <v>0</v>
      </c>
      <c r="I1329">
        <v>0</v>
      </c>
      <c r="J1329" t="s">
        <v>6</v>
      </c>
      <c r="K1329">
        <v>25.4</v>
      </c>
      <c r="L1329">
        <v>30.2</v>
      </c>
      <c r="M1329">
        <f t="shared" si="83"/>
        <v>0</v>
      </c>
    </row>
    <row r="1330" spans="1:13" x14ac:dyDescent="0.2">
      <c r="A1330" s="9">
        <v>44065</v>
      </c>
      <c r="B1330">
        <f t="shared" si="80"/>
        <v>22</v>
      </c>
      <c r="C1330">
        <f t="shared" si="81"/>
        <v>8</v>
      </c>
      <c r="D1330">
        <f t="shared" si="82"/>
        <v>2020</v>
      </c>
      <c r="E1330" s="11">
        <v>3.1309999999999998</v>
      </c>
      <c r="F1330" s="11">
        <v>101.54900000000001</v>
      </c>
      <c r="G1330" s="11">
        <v>27.4</v>
      </c>
      <c r="H1330" s="1" t="s">
        <v>0</v>
      </c>
      <c r="I1330" t="s">
        <v>6</v>
      </c>
      <c r="J1330">
        <v>32.299999999999997</v>
      </c>
      <c r="K1330" t="s">
        <v>6</v>
      </c>
      <c r="L1330">
        <v>28.8</v>
      </c>
      <c r="M1330" t="str">
        <f t="shared" si="83"/>
        <v/>
      </c>
    </row>
    <row r="1331" spans="1:13" x14ac:dyDescent="0.2">
      <c r="A1331" s="9">
        <v>44066</v>
      </c>
      <c r="B1331">
        <f t="shared" si="80"/>
        <v>23</v>
      </c>
      <c r="C1331">
        <f t="shared" si="81"/>
        <v>8</v>
      </c>
      <c r="D1331">
        <f t="shared" si="82"/>
        <v>2020</v>
      </c>
      <c r="E1331" s="11">
        <v>3.1309999999999998</v>
      </c>
      <c r="F1331" s="11">
        <v>101.54900000000001</v>
      </c>
      <c r="G1331" s="11">
        <v>27.4</v>
      </c>
      <c r="H1331" s="1" t="s">
        <v>0</v>
      </c>
      <c r="I1331">
        <v>0</v>
      </c>
      <c r="J1331">
        <v>34.299999999999997</v>
      </c>
      <c r="K1331" t="s">
        <v>6</v>
      </c>
      <c r="L1331">
        <v>28.2</v>
      </c>
      <c r="M1331">
        <f t="shared" si="83"/>
        <v>0</v>
      </c>
    </row>
    <row r="1332" spans="1:13" x14ac:dyDescent="0.2">
      <c r="A1332" s="9">
        <v>44067</v>
      </c>
      <c r="B1332">
        <f t="shared" si="80"/>
        <v>24</v>
      </c>
      <c r="C1332">
        <f t="shared" si="81"/>
        <v>8</v>
      </c>
      <c r="D1332">
        <f t="shared" si="82"/>
        <v>2020</v>
      </c>
      <c r="E1332" s="11">
        <v>3.1309999999999998</v>
      </c>
      <c r="F1332" s="11">
        <v>101.54900000000001</v>
      </c>
      <c r="G1332" s="11">
        <v>27.4</v>
      </c>
      <c r="H1332" s="1" t="s">
        <v>0</v>
      </c>
      <c r="I1332" t="s">
        <v>6</v>
      </c>
      <c r="J1332" t="s">
        <v>6</v>
      </c>
      <c r="K1332" t="s">
        <v>6</v>
      </c>
      <c r="L1332">
        <v>29.4</v>
      </c>
      <c r="M1332" t="str">
        <f t="shared" si="83"/>
        <v/>
      </c>
    </row>
    <row r="1333" spans="1:13" x14ac:dyDescent="0.2">
      <c r="A1333" s="9">
        <v>44068</v>
      </c>
      <c r="B1333">
        <f t="shared" si="80"/>
        <v>25</v>
      </c>
      <c r="C1333">
        <f t="shared" si="81"/>
        <v>8</v>
      </c>
      <c r="D1333">
        <f t="shared" si="82"/>
        <v>2020</v>
      </c>
      <c r="E1333" s="11">
        <v>3.1309999999999998</v>
      </c>
      <c r="F1333" s="11">
        <v>101.54900000000001</v>
      </c>
      <c r="G1333" s="11">
        <v>27.4</v>
      </c>
      <c r="H1333" s="1" t="s">
        <v>0</v>
      </c>
      <c r="I1333" t="s">
        <v>6</v>
      </c>
      <c r="J1333" t="s">
        <v>6</v>
      </c>
      <c r="K1333">
        <v>25.2</v>
      </c>
      <c r="L1333">
        <v>29.1</v>
      </c>
      <c r="M1333" t="str">
        <f t="shared" si="83"/>
        <v/>
      </c>
    </row>
    <row r="1334" spans="1:13" x14ac:dyDescent="0.2">
      <c r="A1334" s="9">
        <v>44069</v>
      </c>
      <c r="B1334">
        <f t="shared" si="80"/>
        <v>26</v>
      </c>
      <c r="C1334">
        <f t="shared" si="81"/>
        <v>8</v>
      </c>
      <c r="D1334">
        <f t="shared" si="82"/>
        <v>2020</v>
      </c>
      <c r="E1334" s="11">
        <v>3.1309999999999998</v>
      </c>
      <c r="F1334" s="11">
        <v>101.54900000000001</v>
      </c>
      <c r="G1334" s="11">
        <v>27.4</v>
      </c>
      <c r="H1334" s="1" t="s">
        <v>0</v>
      </c>
      <c r="I1334">
        <v>2</v>
      </c>
      <c r="J1334">
        <v>34</v>
      </c>
      <c r="K1334">
        <v>24.9</v>
      </c>
      <c r="L1334">
        <v>28.1</v>
      </c>
      <c r="M1334">
        <f t="shared" si="83"/>
        <v>1</v>
      </c>
    </row>
    <row r="1335" spans="1:13" x14ac:dyDescent="0.2">
      <c r="A1335" s="9">
        <v>44070</v>
      </c>
      <c r="B1335">
        <f t="shared" si="80"/>
        <v>27</v>
      </c>
      <c r="C1335">
        <f t="shared" si="81"/>
        <v>8</v>
      </c>
      <c r="D1335">
        <f t="shared" si="82"/>
        <v>2020</v>
      </c>
      <c r="E1335" s="11">
        <v>3.1309999999999998</v>
      </c>
      <c r="F1335" s="11">
        <v>101.54900000000001</v>
      </c>
      <c r="G1335" s="11">
        <v>27.4</v>
      </c>
      <c r="H1335" s="1" t="s">
        <v>0</v>
      </c>
      <c r="I1335" t="s">
        <v>6</v>
      </c>
      <c r="J1335">
        <v>33</v>
      </c>
      <c r="K1335">
        <v>25.3</v>
      </c>
      <c r="L1335">
        <v>29.2</v>
      </c>
      <c r="M1335" t="str">
        <f t="shared" si="83"/>
        <v/>
      </c>
    </row>
    <row r="1336" spans="1:13" x14ac:dyDescent="0.2">
      <c r="A1336" s="9">
        <v>44071</v>
      </c>
      <c r="B1336">
        <f t="shared" si="80"/>
        <v>28</v>
      </c>
      <c r="C1336">
        <f t="shared" si="81"/>
        <v>8</v>
      </c>
      <c r="D1336">
        <f t="shared" si="82"/>
        <v>2020</v>
      </c>
      <c r="E1336" s="11">
        <v>3.1309999999999998</v>
      </c>
      <c r="F1336" s="11">
        <v>101.54900000000001</v>
      </c>
      <c r="G1336" s="11">
        <v>27.4</v>
      </c>
      <c r="H1336" s="1" t="s">
        <v>0</v>
      </c>
      <c r="I1336">
        <v>0</v>
      </c>
      <c r="J1336" t="s">
        <v>6</v>
      </c>
      <c r="K1336">
        <v>25.9</v>
      </c>
      <c r="L1336">
        <v>29.3</v>
      </c>
      <c r="M1336">
        <f t="shared" si="83"/>
        <v>0</v>
      </c>
    </row>
    <row r="1337" spans="1:13" x14ac:dyDescent="0.2">
      <c r="A1337" s="9">
        <v>44072</v>
      </c>
      <c r="B1337">
        <f t="shared" si="80"/>
        <v>29</v>
      </c>
      <c r="C1337">
        <f t="shared" si="81"/>
        <v>8</v>
      </c>
      <c r="D1337">
        <f t="shared" si="82"/>
        <v>2020</v>
      </c>
      <c r="E1337" s="11">
        <v>3.1309999999999998</v>
      </c>
      <c r="F1337" s="11">
        <v>101.54900000000001</v>
      </c>
      <c r="G1337" s="11">
        <v>27.4</v>
      </c>
      <c r="H1337" s="1" t="s">
        <v>0</v>
      </c>
      <c r="I1337" t="s">
        <v>6</v>
      </c>
      <c r="J1337" t="s">
        <v>6</v>
      </c>
      <c r="K1337">
        <v>25.5</v>
      </c>
      <c r="L1337">
        <v>28.7</v>
      </c>
      <c r="M1337" t="str">
        <f t="shared" si="83"/>
        <v/>
      </c>
    </row>
    <row r="1338" spans="1:13" x14ac:dyDescent="0.2">
      <c r="A1338" s="9">
        <v>44073</v>
      </c>
      <c r="B1338">
        <f t="shared" si="80"/>
        <v>30</v>
      </c>
      <c r="C1338">
        <f t="shared" si="81"/>
        <v>8</v>
      </c>
      <c r="D1338">
        <f t="shared" si="82"/>
        <v>2020</v>
      </c>
      <c r="E1338" s="11">
        <v>3.1309999999999998</v>
      </c>
      <c r="F1338" s="11">
        <v>101.54900000000001</v>
      </c>
      <c r="G1338" s="11">
        <v>27.4</v>
      </c>
      <c r="H1338" s="1" t="s">
        <v>0</v>
      </c>
      <c r="I1338" t="s">
        <v>6</v>
      </c>
      <c r="J1338" t="s">
        <v>6</v>
      </c>
      <c r="K1338">
        <v>25.6</v>
      </c>
      <c r="L1338">
        <v>28.4</v>
      </c>
      <c r="M1338" t="str">
        <f t="shared" si="83"/>
        <v/>
      </c>
    </row>
    <row r="1339" spans="1:13" x14ac:dyDescent="0.2">
      <c r="A1339" s="9">
        <v>44074</v>
      </c>
      <c r="B1339">
        <f t="shared" si="80"/>
        <v>31</v>
      </c>
      <c r="C1339">
        <f t="shared" si="81"/>
        <v>8</v>
      </c>
      <c r="D1339">
        <f t="shared" si="82"/>
        <v>2020</v>
      </c>
      <c r="E1339" s="11">
        <v>3.1309999999999998</v>
      </c>
      <c r="F1339" s="11">
        <v>101.54900000000001</v>
      </c>
      <c r="G1339" s="11">
        <v>27.4</v>
      </c>
      <c r="H1339" s="1" t="s">
        <v>0</v>
      </c>
      <c r="I1339">
        <v>0</v>
      </c>
      <c r="J1339" t="s">
        <v>6</v>
      </c>
      <c r="K1339">
        <v>25.8</v>
      </c>
      <c r="L1339">
        <v>28.6</v>
      </c>
      <c r="M1339">
        <f t="shared" si="83"/>
        <v>0</v>
      </c>
    </row>
    <row r="1340" spans="1:13" x14ac:dyDescent="0.2">
      <c r="A1340" s="9">
        <v>44075</v>
      </c>
      <c r="B1340">
        <f t="shared" si="80"/>
        <v>1</v>
      </c>
      <c r="C1340">
        <f t="shared" si="81"/>
        <v>9</v>
      </c>
      <c r="D1340">
        <f t="shared" si="82"/>
        <v>2020</v>
      </c>
      <c r="E1340" s="11">
        <v>3.1309999999999998</v>
      </c>
      <c r="F1340" s="11">
        <v>101.54900000000001</v>
      </c>
      <c r="G1340" s="11">
        <v>27.4</v>
      </c>
      <c r="H1340" s="1" t="s">
        <v>0</v>
      </c>
      <c r="I1340" t="s">
        <v>6</v>
      </c>
      <c r="J1340" t="s">
        <v>6</v>
      </c>
      <c r="K1340">
        <v>25.7</v>
      </c>
      <c r="L1340">
        <v>29.3</v>
      </c>
      <c r="M1340" t="str">
        <f t="shared" si="83"/>
        <v/>
      </c>
    </row>
    <row r="1341" spans="1:13" x14ac:dyDescent="0.2">
      <c r="A1341" s="9">
        <v>44076</v>
      </c>
      <c r="B1341">
        <f t="shared" si="80"/>
        <v>2</v>
      </c>
      <c r="C1341">
        <f t="shared" si="81"/>
        <v>9</v>
      </c>
      <c r="D1341">
        <f t="shared" si="82"/>
        <v>2020</v>
      </c>
      <c r="E1341" s="11">
        <v>3.1309999999999998</v>
      </c>
      <c r="F1341" s="11">
        <v>101.54900000000001</v>
      </c>
      <c r="G1341" s="11">
        <v>27.4</v>
      </c>
      <c r="H1341" s="1" t="s">
        <v>0</v>
      </c>
      <c r="I1341" t="s">
        <v>6</v>
      </c>
      <c r="J1341" t="s">
        <v>6</v>
      </c>
      <c r="K1341" t="s">
        <v>6</v>
      </c>
      <c r="L1341">
        <v>27.8</v>
      </c>
      <c r="M1341" t="str">
        <f t="shared" si="83"/>
        <v/>
      </c>
    </row>
    <row r="1342" spans="1:13" x14ac:dyDescent="0.2">
      <c r="A1342" s="9">
        <v>44077</v>
      </c>
      <c r="B1342">
        <f t="shared" si="80"/>
        <v>3</v>
      </c>
      <c r="C1342">
        <f t="shared" si="81"/>
        <v>9</v>
      </c>
      <c r="D1342">
        <f t="shared" si="82"/>
        <v>2020</v>
      </c>
      <c r="E1342" s="11">
        <v>3.1309999999999998</v>
      </c>
      <c r="F1342" s="11">
        <v>101.54900000000001</v>
      </c>
      <c r="G1342" s="11">
        <v>27.4</v>
      </c>
      <c r="H1342" s="1" t="s">
        <v>0</v>
      </c>
      <c r="I1342" t="s">
        <v>6</v>
      </c>
      <c r="J1342" t="s">
        <v>6</v>
      </c>
      <c r="K1342">
        <v>24.4</v>
      </c>
      <c r="L1342">
        <v>26.9</v>
      </c>
      <c r="M1342" t="str">
        <f t="shared" si="83"/>
        <v/>
      </c>
    </row>
    <row r="1343" spans="1:13" x14ac:dyDescent="0.2">
      <c r="A1343" s="9">
        <v>44078</v>
      </c>
      <c r="B1343">
        <f t="shared" si="80"/>
        <v>4</v>
      </c>
      <c r="C1343">
        <f t="shared" si="81"/>
        <v>9</v>
      </c>
      <c r="D1343">
        <f t="shared" si="82"/>
        <v>2020</v>
      </c>
      <c r="E1343" s="11">
        <v>3.1309999999999998</v>
      </c>
      <c r="F1343" s="11">
        <v>101.54900000000001</v>
      </c>
      <c r="G1343" s="11">
        <v>27.4</v>
      </c>
      <c r="H1343" s="1" t="s">
        <v>0</v>
      </c>
      <c r="I1343" t="s">
        <v>6</v>
      </c>
      <c r="J1343" t="s">
        <v>6</v>
      </c>
      <c r="K1343" t="s">
        <v>6</v>
      </c>
      <c r="L1343">
        <v>25.5</v>
      </c>
      <c r="M1343" t="str">
        <f t="shared" si="83"/>
        <v/>
      </c>
    </row>
    <row r="1344" spans="1:13" x14ac:dyDescent="0.2">
      <c r="A1344" s="9">
        <v>44079</v>
      </c>
      <c r="B1344">
        <f t="shared" si="80"/>
        <v>5</v>
      </c>
      <c r="C1344">
        <f t="shared" si="81"/>
        <v>9</v>
      </c>
      <c r="D1344">
        <f t="shared" si="82"/>
        <v>2020</v>
      </c>
      <c r="E1344" s="11">
        <v>3.1309999999999998</v>
      </c>
      <c r="F1344" s="11">
        <v>101.54900000000001</v>
      </c>
      <c r="G1344" s="11">
        <v>27.4</v>
      </c>
      <c r="H1344" s="1" t="s">
        <v>0</v>
      </c>
      <c r="I1344" t="s">
        <v>6</v>
      </c>
      <c r="J1344" t="s">
        <v>6</v>
      </c>
      <c r="K1344">
        <v>23.6</v>
      </c>
      <c r="L1344">
        <v>28.3</v>
      </c>
      <c r="M1344" t="str">
        <f t="shared" si="83"/>
        <v/>
      </c>
    </row>
    <row r="1345" spans="1:13" x14ac:dyDescent="0.2">
      <c r="A1345" s="9">
        <v>44080</v>
      </c>
      <c r="B1345">
        <f t="shared" si="80"/>
        <v>6</v>
      </c>
      <c r="C1345">
        <f t="shared" si="81"/>
        <v>9</v>
      </c>
      <c r="D1345">
        <f t="shared" si="82"/>
        <v>2020</v>
      </c>
      <c r="E1345" s="11">
        <v>3.1309999999999998</v>
      </c>
      <c r="F1345" s="11">
        <v>101.54900000000001</v>
      </c>
      <c r="G1345" s="11">
        <v>27.4</v>
      </c>
      <c r="H1345" s="1" t="s">
        <v>0</v>
      </c>
      <c r="I1345" t="s">
        <v>6</v>
      </c>
      <c r="J1345" t="s">
        <v>6</v>
      </c>
      <c r="K1345">
        <v>23.9</v>
      </c>
      <c r="L1345">
        <v>28.4</v>
      </c>
      <c r="M1345" t="str">
        <f t="shared" si="83"/>
        <v/>
      </c>
    </row>
    <row r="1346" spans="1:13" x14ac:dyDescent="0.2">
      <c r="A1346" s="9">
        <v>44081</v>
      </c>
      <c r="B1346">
        <f t="shared" si="80"/>
        <v>7</v>
      </c>
      <c r="C1346">
        <f t="shared" si="81"/>
        <v>9</v>
      </c>
      <c r="D1346">
        <f t="shared" si="82"/>
        <v>2020</v>
      </c>
      <c r="E1346" s="11">
        <v>3.1309999999999998</v>
      </c>
      <c r="F1346" s="11">
        <v>101.54900000000001</v>
      </c>
      <c r="G1346" s="11">
        <v>27.4</v>
      </c>
      <c r="H1346" s="1" t="s">
        <v>0</v>
      </c>
      <c r="I1346" t="s">
        <v>6</v>
      </c>
      <c r="J1346" t="s">
        <v>6</v>
      </c>
      <c r="K1346" t="s">
        <v>6</v>
      </c>
      <c r="L1346">
        <v>27.7</v>
      </c>
      <c r="M1346" t="str">
        <f t="shared" si="83"/>
        <v/>
      </c>
    </row>
    <row r="1347" spans="1:13" x14ac:dyDescent="0.2">
      <c r="A1347" s="9">
        <v>44082</v>
      </c>
      <c r="B1347">
        <f t="shared" ref="B1347:B1410" si="84">DAY(A1347)</f>
        <v>8</v>
      </c>
      <c r="C1347">
        <f t="shared" ref="C1347:C1410" si="85">MONTH(A1347)</f>
        <v>9</v>
      </c>
      <c r="D1347">
        <f t="shared" ref="D1347:D1410" si="86">YEAR(A1347)</f>
        <v>2020</v>
      </c>
      <c r="E1347" s="11">
        <v>3.1309999999999998</v>
      </c>
      <c r="F1347" s="11">
        <v>101.54900000000001</v>
      </c>
      <c r="G1347" s="11">
        <v>27.4</v>
      </c>
      <c r="H1347" s="1" t="s">
        <v>0</v>
      </c>
      <c r="I1347" t="s">
        <v>6</v>
      </c>
      <c r="J1347" t="s">
        <v>6</v>
      </c>
      <c r="K1347">
        <v>24.5</v>
      </c>
      <c r="L1347">
        <v>29.1</v>
      </c>
      <c r="M1347" t="str">
        <f t="shared" ref="M1347:M1410" si="87">IF(ISNUMBER(I1347), IF(I1347&gt;0, 1, 0), "")</f>
        <v/>
      </c>
    </row>
    <row r="1348" spans="1:13" x14ac:dyDescent="0.2">
      <c r="A1348" s="9">
        <v>44083</v>
      </c>
      <c r="B1348">
        <f t="shared" si="84"/>
        <v>9</v>
      </c>
      <c r="C1348">
        <f t="shared" si="85"/>
        <v>9</v>
      </c>
      <c r="D1348">
        <f t="shared" si="86"/>
        <v>2020</v>
      </c>
      <c r="E1348" s="11">
        <v>3.1309999999999998</v>
      </c>
      <c r="F1348" s="11">
        <v>101.54900000000001</v>
      </c>
      <c r="G1348" s="11">
        <v>27.4</v>
      </c>
      <c r="H1348" s="1" t="s">
        <v>0</v>
      </c>
      <c r="I1348" t="s">
        <v>6</v>
      </c>
      <c r="J1348" t="s">
        <v>6</v>
      </c>
      <c r="K1348" t="s">
        <v>6</v>
      </c>
      <c r="L1348">
        <v>27</v>
      </c>
      <c r="M1348" t="str">
        <f t="shared" si="87"/>
        <v/>
      </c>
    </row>
    <row r="1349" spans="1:13" x14ac:dyDescent="0.2">
      <c r="A1349" s="9">
        <v>44084</v>
      </c>
      <c r="B1349">
        <f t="shared" si="84"/>
        <v>10</v>
      </c>
      <c r="C1349">
        <f t="shared" si="85"/>
        <v>9</v>
      </c>
      <c r="D1349">
        <f t="shared" si="86"/>
        <v>2020</v>
      </c>
      <c r="E1349" s="11">
        <v>3.1309999999999998</v>
      </c>
      <c r="F1349" s="11">
        <v>101.54900000000001</v>
      </c>
      <c r="G1349" s="11">
        <v>27.4</v>
      </c>
      <c r="H1349" s="1" t="s">
        <v>0</v>
      </c>
      <c r="I1349" t="s">
        <v>6</v>
      </c>
      <c r="J1349" t="s">
        <v>6</v>
      </c>
      <c r="K1349" t="s">
        <v>6</v>
      </c>
      <c r="L1349">
        <v>26</v>
      </c>
      <c r="M1349" t="str">
        <f t="shared" si="87"/>
        <v/>
      </c>
    </row>
    <row r="1350" spans="1:13" x14ac:dyDescent="0.2">
      <c r="A1350" s="9">
        <v>44085</v>
      </c>
      <c r="B1350">
        <f t="shared" si="84"/>
        <v>11</v>
      </c>
      <c r="C1350">
        <f t="shared" si="85"/>
        <v>9</v>
      </c>
      <c r="D1350">
        <f t="shared" si="86"/>
        <v>2020</v>
      </c>
      <c r="E1350" s="11">
        <v>3.1309999999999998</v>
      </c>
      <c r="F1350" s="11">
        <v>101.54900000000001</v>
      </c>
      <c r="G1350" s="11">
        <v>27.4</v>
      </c>
      <c r="H1350" s="1" t="s">
        <v>0</v>
      </c>
      <c r="I1350" t="s">
        <v>6</v>
      </c>
      <c r="J1350" t="s">
        <v>6</v>
      </c>
      <c r="K1350">
        <v>23.4</v>
      </c>
      <c r="L1350">
        <v>27.7</v>
      </c>
      <c r="M1350" t="str">
        <f t="shared" si="87"/>
        <v/>
      </c>
    </row>
    <row r="1351" spans="1:13" x14ac:dyDescent="0.2">
      <c r="A1351" s="9">
        <v>44086</v>
      </c>
      <c r="B1351">
        <f t="shared" si="84"/>
        <v>12</v>
      </c>
      <c r="C1351">
        <f t="shared" si="85"/>
        <v>9</v>
      </c>
      <c r="D1351">
        <f t="shared" si="86"/>
        <v>2020</v>
      </c>
      <c r="E1351" s="11">
        <v>3.1309999999999998</v>
      </c>
      <c r="F1351" s="11">
        <v>101.54900000000001</v>
      </c>
      <c r="G1351" s="11">
        <v>27.4</v>
      </c>
      <c r="H1351" s="1" t="s">
        <v>0</v>
      </c>
      <c r="I1351">
        <v>6.1</v>
      </c>
      <c r="J1351">
        <v>32</v>
      </c>
      <c r="K1351">
        <v>24</v>
      </c>
      <c r="L1351">
        <v>27.7</v>
      </c>
      <c r="M1351">
        <f t="shared" si="87"/>
        <v>1</v>
      </c>
    </row>
    <row r="1352" spans="1:13" x14ac:dyDescent="0.2">
      <c r="A1352" s="9">
        <v>44087</v>
      </c>
      <c r="B1352">
        <f t="shared" si="84"/>
        <v>13</v>
      </c>
      <c r="C1352">
        <f t="shared" si="85"/>
        <v>9</v>
      </c>
      <c r="D1352">
        <f t="shared" si="86"/>
        <v>2020</v>
      </c>
      <c r="E1352" s="11">
        <v>3.1309999999999998</v>
      </c>
      <c r="F1352" s="11">
        <v>101.54900000000001</v>
      </c>
      <c r="G1352" s="11">
        <v>27.4</v>
      </c>
      <c r="H1352" s="1" t="s">
        <v>0</v>
      </c>
      <c r="I1352">
        <v>5.6</v>
      </c>
      <c r="J1352" t="s">
        <v>6</v>
      </c>
      <c r="K1352">
        <v>23.6</v>
      </c>
      <c r="L1352">
        <v>27.7</v>
      </c>
      <c r="M1352">
        <f t="shared" si="87"/>
        <v>1</v>
      </c>
    </row>
    <row r="1353" spans="1:13" x14ac:dyDescent="0.2">
      <c r="A1353" s="9">
        <v>44088</v>
      </c>
      <c r="B1353">
        <f t="shared" si="84"/>
        <v>14</v>
      </c>
      <c r="C1353">
        <f t="shared" si="85"/>
        <v>9</v>
      </c>
      <c r="D1353">
        <f t="shared" si="86"/>
        <v>2020</v>
      </c>
      <c r="E1353" s="11">
        <v>3.1309999999999998</v>
      </c>
      <c r="F1353" s="11">
        <v>101.54900000000001</v>
      </c>
      <c r="G1353" s="11">
        <v>27.4</v>
      </c>
      <c r="H1353" s="1" t="s">
        <v>0</v>
      </c>
      <c r="I1353">
        <v>0</v>
      </c>
      <c r="J1353" t="s">
        <v>6</v>
      </c>
      <c r="K1353">
        <v>23.9</v>
      </c>
      <c r="L1353">
        <v>26.2</v>
      </c>
      <c r="M1353">
        <f t="shared" si="87"/>
        <v>0</v>
      </c>
    </row>
    <row r="1354" spans="1:13" x14ac:dyDescent="0.2">
      <c r="A1354" s="9">
        <v>44089</v>
      </c>
      <c r="B1354">
        <f t="shared" si="84"/>
        <v>15</v>
      </c>
      <c r="C1354">
        <f t="shared" si="85"/>
        <v>9</v>
      </c>
      <c r="D1354">
        <f t="shared" si="86"/>
        <v>2020</v>
      </c>
      <c r="E1354" s="11">
        <v>3.1309999999999998</v>
      </c>
      <c r="F1354" s="11">
        <v>101.54900000000001</v>
      </c>
      <c r="G1354" s="11">
        <v>27.4</v>
      </c>
      <c r="H1354" s="1" t="s">
        <v>0</v>
      </c>
      <c r="I1354">
        <v>8.9</v>
      </c>
      <c r="J1354" t="s">
        <v>6</v>
      </c>
      <c r="K1354" t="s">
        <v>6</v>
      </c>
      <c r="L1354">
        <v>28</v>
      </c>
      <c r="M1354">
        <f t="shared" si="87"/>
        <v>1</v>
      </c>
    </row>
    <row r="1355" spans="1:13" x14ac:dyDescent="0.2">
      <c r="A1355" s="9">
        <v>44090</v>
      </c>
      <c r="B1355">
        <f t="shared" si="84"/>
        <v>16</v>
      </c>
      <c r="C1355">
        <f t="shared" si="85"/>
        <v>9</v>
      </c>
      <c r="D1355">
        <f t="shared" si="86"/>
        <v>2020</v>
      </c>
      <c r="E1355" s="11">
        <v>3.1309999999999998</v>
      </c>
      <c r="F1355" s="11">
        <v>101.54900000000001</v>
      </c>
      <c r="G1355" s="11">
        <v>27.4</v>
      </c>
      <c r="H1355" s="1" t="s">
        <v>0</v>
      </c>
      <c r="I1355">
        <v>8.9</v>
      </c>
      <c r="J1355" t="s">
        <v>6</v>
      </c>
      <c r="K1355">
        <v>23.2</v>
      </c>
      <c r="L1355">
        <v>28.6</v>
      </c>
      <c r="M1355">
        <f t="shared" si="87"/>
        <v>1</v>
      </c>
    </row>
    <row r="1356" spans="1:13" x14ac:dyDescent="0.2">
      <c r="A1356" s="9">
        <v>44091</v>
      </c>
      <c r="B1356">
        <f t="shared" si="84"/>
        <v>17</v>
      </c>
      <c r="C1356">
        <f t="shared" si="85"/>
        <v>9</v>
      </c>
      <c r="D1356">
        <f t="shared" si="86"/>
        <v>2020</v>
      </c>
      <c r="E1356" s="11">
        <v>3.1309999999999998</v>
      </c>
      <c r="F1356" s="11">
        <v>101.54900000000001</v>
      </c>
      <c r="G1356" s="11">
        <v>27.4</v>
      </c>
      <c r="H1356" s="1" t="s">
        <v>0</v>
      </c>
      <c r="I1356">
        <v>0</v>
      </c>
      <c r="J1356">
        <v>32.799999999999997</v>
      </c>
      <c r="K1356">
        <v>24.6</v>
      </c>
      <c r="L1356">
        <v>29</v>
      </c>
      <c r="M1356">
        <f t="shared" si="87"/>
        <v>0</v>
      </c>
    </row>
    <row r="1357" spans="1:13" x14ac:dyDescent="0.2">
      <c r="A1357" s="9">
        <v>44092</v>
      </c>
      <c r="B1357">
        <f t="shared" si="84"/>
        <v>18</v>
      </c>
      <c r="C1357">
        <f t="shared" si="85"/>
        <v>9</v>
      </c>
      <c r="D1357">
        <f t="shared" si="86"/>
        <v>2020</v>
      </c>
      <c r="E1357" s="11">
        <v>3.1309999999999998</v>
      </c>
      <c r="F1357" s="11">
        <v>101.54900000000001</v>
      </c>
      <c r="G1357" s="11">
        <v>27.4</v>
      </c>
      <c r="H1357" s="1" t="s">
        <v>0</v>
      </c>
      <c r="I1357">
        <v>0</v>
      </c>
      <c r="J1357">
        <v>33.299999999999997</v>
      </c>
      <c r="K1357">
        <v>25.7</v>
      </c>
      <c r="L1357">
        <v>29</v>
      </c>
      <c r="M1357">
        <f t="shared" si="87"/>
        <v>0</v>
      </c>
    </row>
    <row r="1358" spans="1:13" x14ac:dyDescent="0.2">
      <c r="A1358" s="9">
        <v>44093</v>
      </c>
      <c r="B1358">
        <f t="shared" si="84"/>
        <v>19</v>
      </c>
      <c r="C1358">
        <f t="shared" si="85"/>
        <v>9</v>
      </c>
      <c r="D1358">
        <f t="shared" si="86"/>
        <v>2020</v>
      </c>
      <c r="E1358" s="11">
        <v>3.1309999999999998</v>
      </c>
      <c r="F1358" s="11">
        <v>101.54900000000001</v>
      </c>
      <c r="G1358" s="11">
        <v>27.4</v>
      </c>
      <c r="H1358" s="1" t="s">
        <v>0</v>
      </c>
      <c r="I1358" t="s">
        <v>6</v>
      </c>
      <c r="J1358" t="s">
        <v>6</v>
      </c>
      <c r="K1358">
        <v>25.6</v>
      </c>
      <c r="L1358">
        <v>28.7</v>
      </c>
      <c r="M1358" t="str">
        <f t="shared" si="87"/>
        <v/>
      </c>
    </row>
    <row r="1359" spans="1:13" x14ac:dyDescent="0.2">
      <c r="A1359" s="9">
        <v>44094</v>
      </c>
      <c r="B1359">
        <f t="shared" si="84"/>
        <v>20</v>
      </c>
      <c r="C1359">
        <f t="shared" si="85"/>
        <v>9</v>
      </c>
      <c r="D1359">
        <f t="shared" si="86"/>
        <v>2020</v>
      </c>
      <c r="E1359" s="11">
        <v>3.1309999999999998</v>
      </c>
      <c r="F1359" s="11">
        <v>101.54900000000001</v>
      </c>
      <c r="G1359" s="11">
        <v>27.4</v>
      </c>
      <c r="H1359" s="1" t="s">
        <v>0</v>
      </c>
      <c r="I1359">
        <v>0</v>
      </c>
      <c r="J1359" t="s">
        <v>6</v>
      </c>
      <c r="K1359" t="s">
        <v>6</v>
      </c>
      <c r="L1359">
        <v>27.3</v>
      </c>
      <c r="M1359">
        <f t="shared" si="87"/>
        <v>0</v>
      </c>
    </row>
    <row r="1360" spans="1:13" x14ac:dyDescent="0.2">
      <c r="A1360" s="9">
        <v>44095</v>
      </c>
      <c r="B1360">
        <f t="shared" si="84"/>
        <v>21</v>
      </c>
      <c r="C1360">
        <f t="shared" si="85"/>
        <v>9</v>
      </c>
      <c r="D1360">
        <f t="shared" si="86"/>
        <v>2020</v>
      </c>
      <c r="E1360" s="11">
        <v>3.1309999999999998</v>
      </c>
      <c r="F1360" s="11">
        <v>101.54900000000001</v>
      </c>
      <c r="G1360" s="11">
        <v>27.4</v>
      </c>
      <c r="H1360" s="1" t="s">
        <v>0</v>
      </c>
      <c r="I1360">
        <v>16.8</v>
      </c>
      <c r="J1360" t="s">
        <v>6</v>
      </c>
      <c r="K1360">
        <v>24.3</v>
      </c>
      <c r="L1360">
        <v>27</v>
      </c>
      <c r="M1360">
        <f t="shared" si="87"/>
        <v>1</v>
      </c>
    </row>
    <row r="1361" spans="1:13" x14ac:dyDescent="0.2">
      <c r="A1361" s="9">
        <v>44096</v>
      </c>
      <c r="B1361">
        <f t="shared" si="84"/>
        <v>22</v>
      </c>
      <c r="C1361">
        <f t="shared" si="85"/>
        <v>9</v>
      </c>
      <c r="D1361">
        <f t="shared" si="86"/>
        <v>2020</v>
      </c>
      <c r="E1361" s="11">
        <v>3.1309999999999998</v>
      </c>
      <c r="F1361" s="11">
        <v>101.54900000000001</v>
      </c>
      <c r="G1361" s="11">
        <v>27.4</v>
      </c>
      <c r="H1361" s="1" t="s">
        <v>0</v>
      </c>
      <c r="I1361">
        <v>11.9</v>
      </c>
      <c r="J1361" t="s">
        <v>6</v>
      </c>
      <c r="K1361" t="s">
        <v>6</v>
      </c>
      <c r="L1361">
        <v>27.1</v>
      </c>
      <c r="M1361">
        <f t="shared" si="87"/>
        <v>1</v>
      </c>
    </row>
    <row r="1362" spans="1:13" x14ac:dyDescent="0.2">
      <c r="A1362" s="9">
        <v>44097</v>
      </c>
      <c r="B1362">
        <f t="shared" si="84"/>
        <v>23</v>
      </c>
      <c r="C1362">
        <f t="shared" si="85"/>
        <v>9</v>
      </c>
      <c r="D1362">
        <f t="shared" si="86"/>
        <v>2020</v>
      </c>
      <c r="E1362" s="11">
        <v>3.1309999999999998</v>
      </c>
      <c r="F1362" s="11">
        <v>101.54900000000001</v>
      </c>
      <c r="G1362" s="11">
        <v>27.4</v>
      </c>
      <c r="H1362" s="1" t="s">
        <v>0</v>
      </c>
      <c r="I1362">
        <v>11.9</v>
      </c>
      <c r="J1362" t="s">
        <v>6</v>
      </c>
      <c r="K1362">
        <v>23.4</v>
      </c>
      <c r="L1362">
        <v>26.3</v>
      </c>
      <c r="M1362">
        <f t="shared" si="87"/>
        <v>1</v>
      </c>
    </row>
    <row r="1363" spans="1:13" x14ac:dyDescent="0.2">
      <c r="A1363" s="9">
        <v>44098</v>
      </c>
      <c r="B1363">
        <f t="shared" si="84"/>
        <v>24</v>
      </c>
      <c r="C1363">
        <f t="shared" si="85"/>
        <v>9</v>
      </c>
      <c r="D1363">
        <f t="shared" si="86"/>
        <v>2020</v>
      </c>
      <c r="E1363" s="11">
        <v>3.1309999999999998</v>
      </c>
      <c r="F1363" s="11">
        <v>101.54900000000001</v>
      </c>
      <c r="G1363" s="11">
        <v>27.4</v>
      </c>
      <c r="H1363" s="1" t="s">
        <v>0</v>
      </c>
      <c r="I1363">
        <v>44.2</v>
      </c>
      <c r="J1363" t="s">
        <v>6</v>
      </c>
      <c r="K1363">
        <v>23.4</v>
      </c>
      <c r="L1363">
        <v>29</v>
      </c>
      <c r="M1363">
        <f t="shared" si="87"/>
        <v>1</v>
      </c>
    </row>
    <row r="1364" spans="1:13" x14ac:dyDescent="0.2">
      <c r="A1364" s="9">
        <v>44099</v>
      </c>
      <c r="B1364">
        <f t="shared" si="84"/>
        <v>25</v>
      </c>
      <c r="C1364">
        <f t="shared" si="85"/>
        <v>9</v>
      </c>
      <c r="D1364">
        <f t="shared" si="86"/>
        <v>2020</v>
      </c>
      <c r="E1364" s="11">
        <v>3.1309999999999998</v>
      </c>
      <c r="F1364" s="11">
        <v>101.54900000000001</v>
      </c>
      <c r="G1364" s="11">
        <v>27.4</v>
      </c>
      <c r="H1364" s="1" t="s">
        <v>0</v>
      </c>
      <c r="I1364">
        <v>13.7</v>
      </c>
      <c r="J1364" t="s">
        <v>6</v>
      </c>
      <c r="K1364">
        <v>24.5</v>
      </c>
      <c r="L1364">
        <v>27</v>
      </c>
      <c r="M1364">
        <f t="shared" si="87"/>
        <v>1</v>
      </c>
    </row>
    <row r="1365" spans="1:13" x14ac:dyDescent="0.2">
      <c r="A1365" s="9">
        <v>44100</v>
      </c>
      <c r="B1365">
        <f t="shared" si="84"/>
        <v>26</v>
      </c>
      <c r="C1365">
        <f t="shared" si="85"/>
        <v>9</v>
      </c>
      <c r="D1365">
        <f t="shared" si="86"/>
        <v>2020</v>
      </c>
      <c r="E1365" s="11">
        <v>3.1309999999999998</v>
      </c>
      <c r="F1365" s="11">
        <v>101.54900000000001</v>
      </c>
      <c r="G1365" s="11">
        <v>27.4</v>
      </c>
      <c r="H1365" s="1" t="s">
        <v>0</v>
      </c>
      <c r="I1365">
        <v>3</v>
      </c>
      <c r="J1365" t="s">
        <v>6</v>
      </c>
      <c r="K1365" t="s">
        <v>6</v>
      </c>
      <c r="L1365">
        <v>26.5</v>
      </c>
      <c r="M1365">
        <f t="shared" si="87"/>
        <v>1</v>
      </c>
    </row>
    <row r="1366" spans="1:13" x14ac:dyDescent="0.2">
      <c r="A1366" s="9">
        <v>44101</v>
      </c>
      <c r="B1366">
        <f t="shared" si="84"/>
        <v>27</v>
      </c>
      <c r="C1366">
        <f t="shared" si="85"/>
        <v>9</v>
      </c>
      <c r="D1366">
        <f t="shared" si="86"/>
        <v>2020</v>
      </c>
      <c r="E1366" s="11">
        <v>3.1309999999999998</v>
      </c>
      <c r="F1366" s="11">
        <v>101.54900000000001</v>
      </c>
      <c r="G1366" s="11">
        <v>27.4</v>
      </c>
      <c r="H1366" s="1" t="s">
        <v>0</v>
      </c>
      <c r="I1366">
        <v>7.9</v>
      </c>
      <c r="J1366">
        <v>32.299999999999997</v>
      </c>
      <c r="K1366">
        <v>23.6</v>
      </c>
      <c r="L1366">
        <v>28</v>
      </c>
      <c r="M1366">
        <f t="shared" si="87"/>
        <v>1</v>
      </c>
    </row>
    <row r="1367" spans="1:13" x14ac:dyDescent="0.2">
      <c r="A1367" s="9">
        <v>44102</v>
      </c>
      <c r="B1367">
        <f t="shared" si="84"/>
        <v>28</v>
      </c>
      <c r="C1367">
        <f t="shared" si="85"/>
        <v>9</v>
      </c>
      <c r="D1367">
        <f t="shared" si="86"/>
        <v>2020</v>
      </c>
      <c r="E1367" s="11">
        <v>3.1309999999999998</v>
      </c>
      <c r="F1367" s="11">
        <v>101.54900000000001</v>
      </c>
      <c r="G1367" s="11">
        <v>27.4</v>
      </c>
      <c r="H1367" s="1" t="s">
        <v>0</v>
      </c>
      <c r="I1367">
        <v>0</v>
      </c>
      <c r="J1367" t="s">
        <v>6</v>
      </c>
      <c r="K1367">
        <v>24.2</v>
      </c>
      <c r="L1367">
        <v>29.6</v>
      </c>
      <c r="M1367">
        <f t="shared" si="87"/>
        <v>0</v>
      </c>
    </row>
    <row r="1368" spans="1:13" x14ac:dyDescent="0.2">
      <c r="A1368" s="9">
        <v>44103</v>
      </c>
      <c r="B1368">
        <f t="shared" si="84"/>
        <v>29</v>
      </c>
      <c r="C1368">
        <f t="shared" si="85"/>
        <v>9</v>
      </c>
      <c r="D1368">
        <f t="shared" si="86"/>
        <v>2020</v>
      </c>
      <c r="E1368" s="11">
        <v>3.1309999999999998</v>
      </c>
      <c r="F1368" s="11">
        <v>101.54900000000001</v>
      </c>
      <c r="G1368" s="11">
        <v>27.4</v>
      </c>
      <c r="H1368" s="1" t="s">
        <v>0</v>
      </c>
      <c r="I1368">
        <v>7.1</v>
      </c>
      <c r="J1368">
        <v>32.299999999999997</v>
      </c>
      <c r="K1368" t="s">
        <v>6</v>
      </c>
      <c r="L1368">
        <v>28</v>
      </c>
      <c r="M1368">
        <f t="shared" si="87"/>
        <v>1</v>
      </c>
    </row>
    <row r="1369" spans="1:13" x14ac:dyDescent="0.2">
      <c r="A1369" s="9">
        <v>44104</v>
      </c>
      <c r="B1369">
        <f t="shared" si="84"/>
        <v>30</v>
      </c>
      <c r="C1369">
        <f t="shared" si="85"/>
        <v>9</v>
      </c>
      <c r="D1369">
        <f t="shared" si="86"/>
        <v>2020</v>
      </c>
      <c r="E1369" s="11">
        <v>3.1309999999999998</v>
      </c>
      <c r="F1369" s="11">
        <v>101.54900000000001</v>
      </c>
      <c r="G1369" s="11">
        <v>27.4</v>
      </c>
      <c r="H1369" s="1" t="s">
        <v>0</v>
      </c>
      <c r="I1369" t="s">
        <v>6</v>
      </c>
      <c r="J1369" t="s">
        <v>6</v>
      </c>
      <c r="K1369">
        <v>24.8</v>
      </c>
      <c r="L1369">
        <v>29</v>
      </c>
      <c r="M1369" t="str">
        <f t="shared" si="87"/>
        <v/>
      </c>
    </row>
    <row r="1370" spans="1:13" x14ac:dyDescent="0.2">
      <c r="A1370" s="9">
        <v>44105</v>
      </c>
      <c r="B1370">
        <f t="shared" si="84"/>
        <v>1</v>
      </c>
      <c r="C1370">
        <f t="shared" si="85"/>
        <v>10</v>
      </c>
      <c r="D1370">
        <f t="shared" si="86"/>
        <v>2020</v>
      </c>
      <c r="E1370" s="11">
        <v>3.1309999999999998</v>
      </c>
      <c r="F1370" s="11">
        <v>101.54900000000001</v>
      </c>
      <c r="G1370" s="11">
        <v>27.4</v>
      </c>
      <c r="H1370" s="1" t="s">
        <v>0</v>
      </c>
      <c r="I1370">
        <v>3</v>
      </c>
      <c r="J1370" t="s">
        <v>6</v>
      </c>
      <c r="K1370" t="s">
        <v>6</v>
      </c>
      <c r="L1370">
        <v>26.6</v>
      </c>
      <c r="M1370">
        <f t="shared" si="87"/>
        <v>1</v>
      </c>
    </row>
    <row r="1371" spans="1:13" x14ac:dyDescent="0.2">
      <c r="A1371" s="9">
        <v>44106</v>
      </c>
      <c r="B1371">
        <f t="shared" si="84"/>
        <v>2</v>
      </c>
      <c r="C1371">
        <f t="shared" si="85"/>
        <v>10</v>
      </c>
      <c r="D1371">
        <f t="shared" si="86"/>
        <v>2020</v>
      </c>
      <c r="E1371" s="11">
        <v>3.1309999999999998</v>
      </c>
      <c r="F1371" s="11">
        <v>101.54900000000001</v>
      </c>
      <c r="G1371" s="11">
        <v>27.4</v>
      </c>
      <c r="H1371" s="1" t="s">
        <v>0</v>
      </c>
      <c r="I1371">
        <v>85.6</v>
      </c>
      <c r="J1371" t="s">
        <v>6</v>
      </c>
      <c r="K1371">
        <v>23.9</v>
      </c>
      <c r="L1371">
        <v>26.2</v>
      </c>
      <c r="M1371">
        <f t="shared" si="87"/>
        <v>1</v>
      </c>
    </row>
    <row r="1372" spans="1:13" x14ac:dyDescent="0.2">
      <c r="A1372" s="9">
        <v>44107</v>
      </c>
      <c r="B1372">
        <f t="shared" si="84"/>
        <v>3</v>
      </c>
      <c r="C1372">
        <f t="shared" si="85"/>
        <v>10</v>
      </c>
      <c r="D1372">
        <f t="shared" si="86"/>
        <v>2020</v>
      </c>
      <c r="E1372" s="11">
        <v>3.1309999999999998</v>
      </c>
      <c r="F1372" s="11">
        <v>101.54900000000001</v>
      </c>
      <c r="G1372" s="11">
        <v>27.4</v>
      </c>
      <c r="H1372" s="1" t="s">
        <v>0</v>
      </c>
      <c r="I1372">
        <v>13</v>
      </c>
      <c r="J1372">
        <v>32.799999999999997</v>
      </c>
      <c r="K1372">
        <v>23.7</v>
      </c>
      <c r="L1372">
        <v>28.1</v>
      </c>
      <c r="M1372">
        <f t="shared" si="87"/>
        <v>1</v>
      </c>
    </row>
    <row r="1373" spans="1:13" x14ac:dyDescent="0.2">
      <c r="A1373" s="9">
        <v>44108</v>
      </c>
      <c r="B1373">
        <f t="shared" si="84"/>
        <v>4</v>
      </c>
      <c r="C1373">
        <f t="shared" si="85"/>
        <v>10</v>
      </c>
      <c r="D1373">
        <f t="shared" si="86"/>
        <v>2020</v>
      </c>
      <c r="E1373" s="11">
        <v>3.1309999999999998</v>
      </c>
      <c r="F1373" s="11">
        <v>101.54900000000001</v>
      </c>
      <c r="G1373" s="11">
        <v>27.4</v>
      </c>
      <c r="H1373" s="1" t="s">
        <v>0</v>
      </c>
      <c r="I1373">
        <v>0.5</v>
      </c>
      <c r="J1373" t="s">
        <v>6</v>
      </c>
      <c r="K1373">
        <v>23.8</v>
      </c>
      <c r="L1373">
        <v>28.8</v>
      </c>
      <c r="M1373">
        <f t="shared" si="87"/>
        <v>1</v>
      </c>
    </row>
    <row r="1374" spans="1:13" x14ac:dyDescent="0.2">
      <c r="A1374" s="9">
        <v>44109</v>
      </c>
      <c r="B1374">
        <f t="shared" si="84"/>
        <v>5</v>
      </c>
      <c r="C1374">
        <f t="shared" si="85"/>
        <v>10</v>
      </c>
      <c r="D1374">
        <f t="shared" si="86"/>
        <v>2020</v>
      </c>
      <c r="E1374" s="11">
        <v>3.1309999999999998</v>
      </c>
      <c r="F1374" s="11">
        <v>101.54900000000001</v>
      </c>
      <c r="G1374" s="11">
        <v>27.4</v>
      </c>
      <c r="H1374" s="1" t="s">
        <v>0</v>
      </c>
      <c r="I1374">
        <v>0</v>
      </c>
      <c r="J1374" t="s">
        <v>6</v>
      </c>
      <c r="K1374">
        <v>25.3</v>
      </c>
      <c r="L1374">
        <v>28.5</v>
      </c>
      <c r="M1374">
        <f t="shared" si="87"/>
        <v>0</v>
      </c>
    </row>
    <row r="1375" spans="1:13" x14ac:dyDescent="0.2">
      <c r="A1375" s="9">
        <v>44110</v>
      </c>
      <c r="B1375">
        <f t="shared" si="84"/>
        <v>6</v>
      </c>
      <c r="C1375">
        <f t="shared" si="85"/>
        <v>10</v>
      </c>
      <c r="D1375">
        <f t="shared" si="86"/>
        <v>2020</v>
      </c>
      <c r="E1375" s="11">
        <v>3.1309999999999998</v>
      </c>
      <c r="F1375" s="11">
        <v>101.54900000000001</v>
      </c>
      <c r="G1375" s="11">
        <v>27.4</v>
      </c>
      <c r="H1375" s="1" t="s">
        <v>0</v>
      </c>
      <c r="I1375">
        <v>0</v>
      </c>
      <c r="J1375" t="s">
        <v>6</v>
      </c>
      <c r="K1375" t="s">
        <v>6</v>
      </c>
      <c r="L1375">
        <v>27.8</v>
      </c>
      <c r="M1375">
        <f t="shared" si="87"/>
        <v>0</v>
      </c>
    </row>
    <row r="1376" spans="1:13" x14ac:dyDescent="0.2">
      <c r="A1376" s="9">
        <v>44111</v>
      </c>
      <c r="B1376">
        <f t="shared" si="84"/>
        <v>7</v>
      </c>
      <c r="C1376">
        <f t="shared" si="85"/>
        <v>10</v>
      </c>
      <c r="D1376">
        <f t="shared" si="86"/>
        <v>2020</v>
      </c>
      <c r="E1376" s="11">
        <v>3.1309999999999998</v>
      </c>
      <c r="F1376" s="11">
        <v>101.54900000000001</v>
      </c>
      <c r="G1376" s="11">
        <v>27.4</v>
      </c>
      <c r="H1376" s="1" t="s">
        <v>0</v>
      </c>
      <c r="I1376">
        <v>0</v>
      </c>
      <c r="J1376" t="s">
        <v>6</v>
      </c>
      <c r="K1376" t="s">
        <v>6</v>
      </c>
      <c r="L1376">
        <v>25.9</v>
      </c>
      <c r="M1376">
        <f t="shared" si="87"/>
        <v>0</v>
      </c>
    </row>
    <row r="1377" spans="1:13" x14ac:dyDescent="0.2">
      <c r="A1377" s="9">
        <v>44112</v>
      </c>
      <c r="B1377">
        <f t="shared" si="84"/>
        <v>8</v>
      </c>
      <c r="C1377">
        <f t="shared" si="85"/>
        <v>10</v>
      </c>
      <c r="D1377">
        <f t="shared" si="86"/>
        <v>2020</v>
      </c>
      <c r="E1377" s="11">
        <v>3.1309999999999998</v>
      </c>
      <c r="F1377" s="11">
        <v>101.54900000000001</v>
      </c>
      <c r="G1377" s="11">
        <v>27.4</v>
      </c>
      <c r="H1377" s="1" t="s">
        <v>0</v>
      </c>
      <c r="I1377">
        <v>13</v>
      </c>
      <c r="J1377" t="s">
        <v>6</v>
      </c>
      <c r="K1377">
        <v>24.2</v>
      </c>
      <c r="L1377">
        <v>28.1</v>
      </c>
      <c r="M1377">
        <f t="shared" si="87"/>
        <v>1</v>
      </c>
    </row>
    <row r="1378" spans="1:13" x14ac:dyDescent="0.2">
      <c r="A1378" s="9">
        <v>44113</v>
      </c>
      <c r="B1378">
        <f t="shared" si="84"/>
        <v>9</v>
      </c>
      <c r="C1378">
        <f t="shared" si="85"/>
        <v>10</v>
      </c>
      <c r="D1378">
        <f t="shared" si="86"/>
        <v>2020</v>
      </c>
      <c r="E1378" s="11">
        <v>3.1309999999999998</v>
      </c>
      <c r="F1378" s="11">
        <v>101.54900000000001</v>
      </c>
      <c r="G1378" s="11">
        <v>27.4</v>
      </c>
      <c r="H1378" s="1" t="s">
        <v>0</v>
      </c>
      <c r="I1378">
        <v>0</v>
      </c>
      <c r="J1378" t="s">
        <v>6</v>
      </c>
      <c r="K1378" t="s">
        <v>6</v>
      </c>
      <c r="L1378">
        <v>28.6</v>
      </c>
      <c r="M1378">
        <f t="shared" si="87"/>
        <v>0</v>
      </c>
    </row>
    <row r="1379" spans="1:13" x14ac:dyDescent="0.2">
      <c r="A1379" s="9">
        <v>44114</v>
      </c>
      <c r="B1379">
        <f t="shared" si="84"/>
        <v>10</v>
      </c>
      <c r="C1379">
        <f t="shared" si="85"/>
        <v>10</v>
      </c>
      <c r="D1379">
        <f t="shared" si="86"/>
        <v>2020</v>
      </c>
      <c r="E1379" s="11">
        <v>3.1309999999999998</v>
      </c>
      <c r="F1379" s="11">
        <v>101.54900000000001</v>
      </c>
      <c r="G1379" s="11">
        <v>27.4</v>
      </c>
      <c r="H1379" s="1" t="s">
        <v>0</v>
      </c>
      <c r="I1379">
        <v>22.1</v>
      </c>
      <c r="J1379" t="s">
        <v>6</v>
      </c>
      <c r="K1379">
        <v>23.8</v>
      </c>
      <c r="L1379">
        <v>28.8</v>
      </c>
      <c r="M1379">
        <f t="shared" si="87"/>
        <v>1</v>
      </c>
    </row>
    <row r="1380" spans="1:13" x14ac:dyDescent="0.2">
      <c r="A1380" s="9">
        <v>44115</v>
      </c>
      <c r="B1380">
        <f t="shared" si="84"/>
        <v>11</v>
      </c>
      <c r="C1380">
        <f t="shared" si="85"/>
        <v>10</v>
      </c>
      <c r="D1380">
        <f t="shared" si="86"/>
        <v>2020</v>
      </c>
      <c r="E1380" s="11">
        <v>3.1309999999999998</v>
      </c>
      <c r="F1380" s="11">
        <v>101.54900000000001</v>
      </c>
      <c r="G1380" s="11">
        <v>27.4</v>
      </c>
      <c r="H1380" s="1" t="s">
        <v>0</v>
      </c>
      <c r="I1380">
        <v>0</v>
      </c>
      <c r="J1380" t="s">
        <v>6</v>
      </c>
      <c r="K1380" t="s">
        <v>6</v>
      </c>
      <c r="L1380">
        <v>27.3</v>
      </c>
      <c r="M1380">
        <f t="shared" si="87"/>
        <v>0</v>
      </c>
    </row>
    <row r="1381" spans="1:13" x14ac:dyDescent="0.2">
      <c r="A1381" s="9">
        <v>44116</v>
      </c>
      <c r="B1381">
        <f t="shared" si="84"/>
        <v>12</v>
      </c>
      <c r="C1381">
        <f t="shared" si="85"/>
        <v>10</v>
      </c>
      <c r="D1381">
        <f t="shared" si="86"/>
        <v>2020</v>
      </c>
      <c r="E1381" s="11">
        <v>3.1309999999999998</v>
      </c>
      <c r="F1381" s="11">
        <v>101.54900000000001</v>
      </c>
      <c r="G1381" s="11">
        <v>27.4</v>
      </c>
      <c r="H1381" s="1" t="s">
        <v>0</v>
      </c>
      <c r="I1381">
        <v>25.9</v>
      </c>
      <c r="J1381" t="s">
        <v>6</v>
      </c>
      <c r="K1381">
        <v>22.8</v>
      </c>
      <c r="L1381">
        <v>28.6</v>
      </c>
      <c r="M1381">
        <f t="shared" si="87"/>
        <v>1</v>
      </c>
    </row>
    <row r="1382" spans="1:13" x14ac:dyDescent="0.2">
      <c r="A1382" s="9">
        <v>44117</v>
      </c>
      <c r="B1382">
        <f t="shared" si="84"/>
        <v>13</v>
      </c>
      <c r="C1382">
        <f t="shared" si="85"/>
        <v>10</v>
      </c>
      <c r="D1382">
        <f t="shared" si="86"/>
        <v>2020</v>
      </c>
      <c r="E1382" s="11">
        <v>3.1309999999999998</v>
      </c>
      <c r="F1382" s="11">
        <v>101.54900000000001</v>
      </c>
      <c r="G1382" s="11">
        <v>27.4</v>
      </c>
      <c r="H1382" s="1" t="s">
        <v>0</v>
      </c>
      <c r="I1382">
        <v>0.5</v>
      </c>
      <c r="J1382">
        <v>33.700000000000003</v>
      </c>
      <c r="K1382">
        <v>25.3</v>
      </c>
      <c r="L1382">
        <v>29.3</v>
      </c>
      <c r="M1382">
        <f t="shared" si="87"/>
        <v>1</v>
      </c>
    </row>
    <row r="1383" spans="1:13" x14ac:dyDescent="0.2">
      <c r="A1383" s="9">
        <v>44118</v>
      </c>
      <c r="B1383">
        <f t="shared" si="84"/>
        <v>14</v>
      </c>
      <c r="C1383">
        <f t="shared" si="85"/>
        <v>10</v>
      </c>
      <c r="D1383">
        <f t="shared" si="86"/>
        <v>2020</v>
      </c>
      <c r="E1383" s="11">
        <v>3.1309999999999998</v>
      </c>
      <c r="F1383" s="11">
        <v>101.54900000000001</v>
      </c>
      <c r="G1383" s="11">
        <v>27.4</v>
      </c>
      <c r="H1383" s="1" t="s">
        <v>0</v>
      </c>
      <c r="I1383">
        <v>0</v>
      </c>
      <c r="J1383" t="s">
        <v>6</v>
      </c>
      <c r="K1383">
        <v>25.7</v>
      </c>
      <c r="L1383">
        <v>27.8</v>
      </c>
      <c r="M1383">
        <f t="shared" si="87"/>
        <v>0</v>
      </c>
    </row>
    <row r="1384" spans="1:13" x14ac:dyDescent="0.2">
      <c r="A1384" s="9">
        <v>44119</v>
      </c>
      <c r="B1384">
        <f t="shared" si="84"/>
        <v>15</v>
      </c>
      <c r="C1384">
        <f t="shared" si="85"/>
        <v>10</v>
      </c>
      <c r="D1384">
        <f t="shared" si="86"/>
        <v>2020</v>
      </c>
      <c r="E1384" s="11">
        <v>3.1309999999999998</v>
      </c>
      <c r="F1384" s="11">
        <v>101.54900000000001</v>
      </c>
      <c r="G1384" s="11">
        <v>27.4</v>
      </c>
      <c r="H1384" s="1" t="s">
        <v>0</v>
      </c>
      <c r="I1384">
        <v>10.9</v>
      </c>
      <c r="J1384" t="s">
        <v>6</v>
      </c>
      <c r="K1384">
        <v>25.4</v>
      </c>
      <c r="L1384">
        <v>28.9</v>
      </c>
      <c r="M1384">
        <f t="shared" si="87"/>
        <v>1</v>
      </c>
    </row>
    <row r="1385" spans="1:13" x14ac:dyDescent="0.2">
      <c r="A1385" s="9">
        <v>44120</v>
      </c>
      <c r="B1385">
        <f t="shared" si="84"/>
        <v>16</v>
      </c>
      <c r="C1385">
        <f t="shared" si="85"/>
        <v>10</v>
      </c>
      <c r="D1385">
        <f t="shared" si="86"/>
        <v>2020</v>
      </c>
      <c r="E1385" s="11">
        <v>3.1309999999999998</v>
      </c>
      <c r="F1385" s="11">
        <v>101.54900000000001</v>
      </c>
      <c r="G1385" s="11">
        <v>27.4</v>
      </c>
      <c r="H1385" s="1" t="s">
        <v>0</v>
      </c>
      <c r="I1385">
        <v>0</v>
      </c>
      <c r="J1385" t="s">
        <v>6</v>
      </c>
      <c r="K1385">
        <v>25.9</v>
      </c>
      <c r="L1385">
        <v>29.4</v>
      </c>
      <c r="M1385">
        <f t="shared" si="87"/>
        <v>0</v>
      </c>
    </row>
    <row r="1386" spans="1:13" x14ac:dyDescent="0.2">
      <c r="A1386" s="9">
        <v>44121</v>
      </c>
      <c r="B1386">
        <f t="shared" si="84"/>
        <v>17</v>
      </c>
      <c r="C1386">
        <f t="shared" si="85"/>
        <v>10</v>
      </c>
      <c r="D1386">
        <f t="shared" si="86"/>
        <v>2020</v>
      </c>
      <c r="E1386" s="11">
        <v>3.1309999999999998</v>
      </c>
      <c r="F1386" s="11">
        <v>101.54900000000001</v>
      </c>
      <c r="G1386" s="11">
        <v>27.4</v>
      </c>
      <c r="H1386" s="1" t="s">
        <v>0</v>
      </c>
      <c r="I1386">
        <v>0</v>
      </c>
      <c r="J1386" t="s">
        <v>6</v>
      </c>
      <c r="K1386" t="s">
        <v>6</v>
      </c>
      <c r="L1386">
        <v>30.1</v>
      </c>
      <c r="M1386">
        <f t="shared" si="87"/>
        <v>0</v>
      </c>
    </row>
    <row r="1387" spans="1:13" x14ac:dyDescent="0.2">
      <c r="A1387" s="9">
        <v>44122</v>
      </c>
      <c r="B1387">
        <f t="shared" si="84"/>
        <v>18</v>
      </c>
      <c r="C1387">
        <f t="shared" si="85"/>
        <v>10</v>
      </c>
      <c r="D1387">
        <f t="shared" si="86"/>
        <v>2020</v>
      </c>
      <c r="E1387" s="11">
        <v>3.1309999999999998</v>
      </c>
      <c r="F1387" s="11">
        <v>101.54900000000001</v>
      </c>
      <c r="G1387" s="11">
        <v>27.4</v>
      </c>
      <c r="H1387" s="1" t="s">
        <v>0</v>
      </c>
      <c r="I1387" t="s">
        <v>6</v>
      </c>
      <c r="J1387" t="s">
        <v>6</v>
      </c>
      <c r="K1387">
        <v>25.7</v>
      </c>
      <c r="L1387">
        <v>29.9</v>
      </c>
      <c r="M1387" t="str">
        <f t="shared" si="87"/>
        <v/>
      </c>
    </row>
    <row r="1388" spans="1:13" x14ac:dyDescent="0.2">
      <c r="A1388" s="9">
        <v>44123</v>
      </c>
      <c r="B1388">
        <f t="shared" si="84"/>
        <v>19</v>
      </c>
      <c r="C1388">
        <f t="shared" si="85"/>
        <v>10</v>
      </c>
      <c r="D1388">
        <f t="shared" si="86"/>
        <v>2020</v>
      </c>
      <c r="E1388" s="11">
        <v>3.1309999999999998</v>
      </c>
      <c r="F1388" s="11">
        <v>101.54900000000001</v>
      </c>
      <c r="G1388" s="11">
        <v>27.4</v>
      </c>
      <c r="H1388" s="1" t="s">
        <v>0</v>
      </c>
      <c r="I1388">
        <v>0</v>
      </c>
      <c r="J1388" t="s">
        <v>6</v>
      </c>
      <c r="K1388" t="s">
        <v>6</v>
      </c>
      <c r="L1388">
        <v>29.4</v>
      </c>
      <c r="M1388">
        <f t="shared" si="87"/>
        <v>0</v>
      </c>
    </row>
    <row r="1389" spans="1:13" x14ac:dyDescent="0.2">
      <c r="A1389" s="9">
        <v>44124</v>
      </c>
      <c r="B1389">
        <f t="shared" si="84"/>
        <v>20</v>
      </c>
      <c r="C1389">
        <f t="shared" si="85"/>
        <v>10</v>
      </c>
      <c r="D1389">
        <f t="shared" si="86"/>
        <v>2020</v>
      </c>
      <c r="E1389" s="11">
        <v>3.1309999999999998</v>
      </c>
      <c r="F1389" s="11">
        <v>101.54900000000001</v>
      </c>
      <c r="G1389" s="11">
        <v>27.4</v>
      </c>
      <c r="H1389" s="1" t="s">
        <v>0</v>
      </c>
      <c r="I1389">
        <v>0.8</v>
      </c>
      <c r="J1389" t="s">
        <v>6</v>
      </c>
      <c r="K1389" t="s">
        <v>6</v>
      </c>
      <c r="L1389">
        <v>28.8</v>
      </c>
      <c r="M1389">
        <f t="shared" si="87"/>
        <v>1</v>
      </c>
    </row>
    <row r="1390" spans="1:13" x14ac:dyDescent="0.2">
      <c r="A1390" s="9">
        <v>44125</v>
      </c>
      <c r="B1390">
        <f t="shared" si="84"/>
        <v>21</v>
      </c>
      <c r="C1390">
        <f t="shared" si="85"/>
        <v>10</v>
      </c>
      <c r="D1390">
        <f t="shared" si="86"/>
        <v>2020</v>
      </c>
      <c r="E1390" s="11">
        <v>3.1309999999999998</v>
      </c>
      <c r="F1390" s="11">
        <v>101.54900000000001</v>
      </c>
      <c r="G1390" s="11">
        <v>27.4</v>
      </c>
      <c r="H1390" s="1" t="s">
        <v>0</v>
      </c>
      <c r="I1390">
        <v>4.3</v>
      </c>
      <c r="J1390" t="s">
        <v>6</v>
      </c>
      <c r="K1390" t="s">
        <v>6</v>
      </c>
      <c r="L1390">
        <v>28.1</v>
      </c>
      <c r="M1390">
        <f t="shared" si="87"/>
        <v>1</v>
      </c>
    </row>
    <row r="1391" spans="1:13" x14ac:dyDescent="0.2">
      <c r="A1391" s="9">
        <v>44126</v>
      </c>
      <c r="B1391">
        <f t="shared" si="84"/>
        <v>22</v>
      </c>
      <c r="C1391">
        <f t="shared" si="85"/>
        <v>10</v>
      </c>
      <c r="D1391">
        <f t="shared" si="86"/>
        <v>2020</v>
      </c>
      <c r="E1391" s="11">
        <v>3.1309999999999998</v>
      </c>
      <c r="F1391" s="11">
        <v>101.54900000000001</v>
      </c>
      <c r="G1391" s="11">
        <v>27.4</v>
      </c>
      <c r="H1391" s="1" t="s">
        <v>0</v>
      </c>
      <c r="I1391">
        <v>10.9</v>
      </c>
      <c r="J1391" t="s">
        <v>6</v>
      </c>
      <c r="K1391">
        <v>24</v>
      </c>
      <c r="L1391">
        <v>27.1</v>
      </c>
      <c r="M1391">
        <f t="shared" si="87"/>
        <v>1</v>
      </c>
    </row>
    <row r="1392" spans="1:13" x14ac:dyDescent="0.2">
      <c r="A1392" s="9">
        <v>44127</v>
      </c>
      <c r="B1392">
        <f t="shared" si="84"/>
        <v>23</v>
      </c>
      <c r="C1392">
        <f t="shared" si="85"/>
        <v>10</v>
      </c>
      <c r="D1392">
        <f t="shared" si="86"/>
        <v>2020</v>
      </c>
      <c r="E1392" s="11">
        <v>3.1309999999999998</v>
      </c>
      <c r="F1392" s="11">
        <v>101.54900000000001</v>
      </c>
      <c r="G1392" s="11">
        <v>27.4</v>
      </c>
      <c r="H1392" s="1" t="s">
        <v>0</v>
      </c>
      <c r="I1392">
        <v>1.8</v>
      </c>
      <c r="J1392">
        <v>34</v>
      </c>
      <c r="K1392">
        <v>24.1</v>
      </c>
      <c r="L1392">
        <v>29.1</v>
      </c>
      <c r="M1392">
        <f t="shared" si="87"/>
        <v>1</v>
      </c>
    </row>
    <row r="1393" spans="1:13" x14ac:dyDescent="0.2">
      <c r="A1393" s="9">
        <v>44128</v>
      </c>
      <c r="B1393">
        <f t="shared" si="84"/>
        <v>24</v>
      </c>
      <c r="C1393">
        <f t="shared" si="85"/>
        <v>10</v>
      </c>
      <c r="D1393">
        <f t="shared" si="86"/>
        <v>2020</v>
      </c>
      <c r="E1393" s="11">
        <v>3.1309999999999998</v>
      </c>
      <c r="F1393" s="11">
        <v>101.54900000000001</v>
      </c>
      <c r="G1393" s="11">
        <v>27.4</v>
      </c>
      <c r="H1393" s="1" t="s">
        <v>0</v>
      </c>
      <c r="I1393">
        <v>0.3</v>
      </c>
      <c r="J1393" t="s">
        <v>6</v>
      </c>
      <c r="K1393" t="s">
        <v>6</v>
      </c>
      <c r="L1393">
        <v>28.6</v>
      </c>
      <c r="M1393">
        <f t="shared" si="87"/>
        <v>1</v>
      </c>
    </row>
    <row r="1394" spans="1:13" x14ac:dyDescent="0.2">
      <c r="A1394" s="9">
        <v>44129</v>
      </c>
      <c r="B1394">
        <f t="shared" si="84"/>
        <v>25</v>
      </c>
      <c r="C1394">
        <f t="shared" si="85"/>
        <v>10</v>
      </c>
      <c r="D1394">
        <f t="shared" si="86"/>
        <v>2020</v>
      </c>
      <c r="E1394" s="11">
        <v>3.1309999999999998</v>
      </c>
      <c r="F1394" s="11">
        <v>101.54900000000001</v>
      </c>
      <c r="G1394" s="11">
        <v>27.4</v>
      </c>
      <c r="H1394" s="1" t="s">
        <v>0</v>
      </c>
      <c r="I1394">
        <v>0</v>
      </c>
      <c r="J1394" t="s">
        <v>6</v>
      </c>
      <c r="K1394" t="s">
        <v>6</v>
      </c>
      <c r="L1394">
        <v>27.8</v>
      </c>
      <c r="M1394">
        <f t="shared" si="87"/>
        <v>0</v>
      </c>
    </row>
    <row r="1395" spans="1:13" x14ac:dyDescent="0.2">
      <c r="A1395" s="9">
        <v>44130</v>
      </c>
      <c r="B1395">
        <f t="shared" si="84"/>
        <v>26</v>
      </c>
      <c r="C1395">
        <f t="shared" si="85"/>
        <v>10</v>
      </c>
      <c r="D1395">
        <f t="shared" si="86"/>
        <v>2020</v>
      </c>
      <c r="E1395" s="11">
        <v>3.1309999999999998</v>
      </c>
      <c r="F1395" s="11">
        <v>101.54900000000001</v>
      </c>
      <c r="G1395" s="11">
        <v>27.4</v>
      </c>
      <c r="H1395" s="1" t="s">
        <v>0</v>
      </c>
      <c r="I1395" t="s">
        <v>6</v>
      </c>
      <c r="J1395" t="s">
        <v>6</v>
      </c>
      <c r="K1395">
        <v>24.5</v>
      </c>
      <c r="L1395">
        <v>28.4</v>
      </c>
      <c r="M1395" t="str">
        <f t="shared" si="87"/>
        <v/>
      </c>
    </row>
    <row r="1396" spans="1:13" x14ac:dyDescent="0.2">
      <c r="A1396" s="9">
        <v>44131</v>
      </c>
      <c r="B1396">
        <f t="shared" si="84"/>
        <v>27</v>
      </c>
      <c r="C1396">
        <f t="shared" si="85"/>
        <v>10</v>
      </c>
      <c r="D1396">
        <f t="shared" si="86"/>
        <v>2020</v>
      </c>
      <c r="E1396" s="11">
        <v>3.1309999999999998</v>
      </c>
      <c r="F1396" s="11">
        <v>101.54900000000001</v>
      </c>
      <c r="G1396" s="11">
        <v>27.4</v>
      </c>
      <c r="H1396" s="1" t="s">
        <v>0</v>
      </c>
      <c r="I1396" t="s">
        <v>6</v>
      </c>
      <c r="J1396" t="s">
        <v>6</v>
      </c>
      <c r="K1396">
        <v>24.8</v>
      </c>
      <c r="L1396">
        <v>29.2</v>
      </c>
      <c r="M1396" t="str">
        <f t="shared" si="87"/>
        <v/>
      </c>
    </row>
    <row r="1397" spans="1:13" x14ac:dyDescent="0.2">
      <c r="A1397" s="9">
        <v>44132</v>
      </c>
      <c r="B1397">
        <f t="shared" si="84"/>
        <v>28</v>
      </c>
      <c r="C1397">
        <f t="shared" si="85"/>
        <v>10</v>
      </c>
      <c r="D1397">
        <f t="shared" si="86"/>
        <v>2020</v>
      </c>
      <c r="E1397" s="11">
        <v>3.1309999999999998</v>
      </c>
      <c r="F1397" s="11">
        <v>101.54900000000001</v>
      </c>
      <c r="G1397" s="11">
        <v>27.4</v>
      </c>
      <c r="H1397" s="1" t="s">
        <v>0</v>
      </c>
      <c r="I1397">
        <v>0</v>
      </c>
      <c r="J1397" t="s">
        <v>6</v>
      </c>
      <c r="K1397" t="s">
        <v>6</v>
      </c>
      <c r="L1397">
        <v>30</v>
      </c>
      <c r="M1397">
        <f t="shared" si="87"/>
        <v>0</v>
      </c>
    </row>
    <row r="1398" spans="1:13" x14ac:dyDescent="0.2">
      <c r="A1398" s="9">
        <v>44133</v>
      </c>
      <c r="B1398">
        <f t="shared" si="84"/>
        <v>29</v>
      </c>
      <c r="C1398">
        <f t="shared" si="85"/>
        <v>10</v>
      </c>
      <c r="D1398">
        <f t="shared" si="86"/>
        <v>2020</v>
      </c>
      <c r="E1398" s="11">
        <v>3.1309999999999998</v>
      </c>
      <c r="F1398" s="11">
        <v>101.54900000000001</v>
      </c>
      <c r="G1398" s="11">
        <v>27.4</v>
      </c>
      <c r="H1398" s="1" t="s">
        <v>0</v>
      </c>
      <c r="I1398">
        <v>0</v>
      </c>
      <c r="J1398">
        <v>33.9</v>
      </c>
      <c r="K1398">
        <v>24.9</v>
      </c>
      <c r="L1398">
        <v>27.6</v>
      </c>
      <c r="M1398">
        <f t="shared" si="87"/>
        <v>0</v>
      </c>
    </row>
    <row r="1399" spans="1:13" x14ac:dyDescent="0.2">
      <c r="A1399" s="9">
        <v>44134</v>
      </c>
      <c r="B1399">
        <f t="shared" si="84"/>
        <v>30</v>
      </c>
      <c r="C1399">
        <f t="shared" si="85"/>
        <v>10</v>
      </c>
      <c r="D1399">
        <f t="shared" si="86"/>
        <v>2020</v>
      </c>
      <c r="E1399" s="11">
        <v>3.1309999999999998</v>
      </c>
      <c r="F1399" s="11">
        <v>101.54900000000001</v>
      </c>
      <c r="G1399" s="11">
        <v>27.4</v>
      </c>
      <c r="H1399" s="1" t="s">
        <v>0</v>
      </c>
      <c r="I1399">
        <v>0.3</v>
      </c>
      <c r="J1399" t="s">
        <v>6</v>
      </c>
      <c r="K1399">
        <v>25.1</v>
      </c>
      <c r="L1399">
        <v>29.7</v>
      </c>
      <c r="M1399">
        <f t="shared" si="87"/>
        <v>1</v>
      </c>
    </row>
    <row r="1400" spans="1:13" x14ac:dyDescent="0.2">
      <c r="A1400" s="9">
        <v>44135</v>
      </c>
      <c r="B1400">
        <f t="shared" si="84"/>
        <v>31</v>
      </c>
      <c r="C1400">
        <f t="shared" si="85"/>
        <v>10</v>
      </c>
      <c r="D1400">
        <f t="shared" si="86"/>
        <v>2020</v>
      </c>
      <c r="E1400" s="11">
        <v>3.1309999999999998</v>
      </c>
      <c r="F1400" s="11">
        <v>101.54900000000001</v>
      </c>
      <c r="G1400" s="11">
        <v>27.4</v>
      </c>
      <c r="H1400" s="1" t="s">
        <v>0</v>
      </c>
      <c r="I1400">
        <v>0</v>
      </c>
      <c r="J1400" t="s">
        <v>6</v>
      </c>
      <c r="K1400" t="s">
        <v>6</v>
      </c>
      <c r="L1400">
        <v>27.8</v>
      </c>
      <c r="M1400">
        <f t="shared" si="87"/>
        <v>0</v>
      </c>
    </row>
    <row r="1401" spans="1:13" x14ac:dyDescent="0.2">
      <c r="A1401" s="9">
        <v>44136</v>
      </c>
      <c r="B1401">
        <f t="shared" si="84"/>
        <v>1</v>
      </c>
      <c r="C1401">
        <f t="shared" si="85"/>
        <v>11</v>
      </c>
      <c r="D1401">
        <f t="shared" si="86"/>
        <v>2020</v>
      </c>
      <c r="E1401" s="11">
        <v>3.1309999999999998</v>
      </c>
      <c r="F1401" s="11">
        <v>101.54900000000001</v>
      </c>
      <c r="G1401" s="11">
        <v>27.4</v>
      </c>
      <c r="H1401" s="1" t="s">
        <v>0</v>
      </c>
      <c r="I1401">
        <v>4.3</v>
      </c>
      <c r="J1401" t="s">
        <v>6</v>
      </c>
      <c r="K1401" t="s">
        <v>6</v>
      </c>
      <c r="L1401">
        <v>27.4</v>
      </c>
      <c r="M1401">
        <f t="shared" si="87"/>
        <v>1</v>
      </c>
    </row>
    <row r="1402" spans="1:13" x14ac:dyDescent="0.2">
      <c r="A1402" s="9">
        <v>44137</v>
      </c>
      <c r="B1402">
        <f t="shared" si="84"/>
        <v>2</v>
      </c>
      <c r="C1402">
        <f t="shared" si="85"/>
        <v>11</v>
      </c>
      <c r="D1402">
        <f t="shared" si="86"/>
        <v>2020</v>
      </c>
      <c r="E1402" s="11">
        <v>3.1309999999999998</v>
      </c>
      <c r="F1402" s="11">
        <v>101.54900000000001</v>
      </c>
      <c r="G1402" s="11">
        <v>27.4</v>
      </c>
      <c r="H1402" s="1" t="s">
        <v>0</v>
      </c>
      <c r="I1402">
        <v>7.1</v>
      </c>
      <c r="J1402">
        <v>32.4</v>
      </c>
      <c r="K1402">
        <v>24.3</v>
      </c>
      <c r="L1402">
        <v>27.3</v>
      </c>
      <c r="M1402">
        <f t="shared" si="87"/>
        <v>1</v>
      </c>
    </row>
    <row r="1403" spans="1:13" x14ac:dyDescent="0.2">
      <c r="A1403" s="9">
        <v>44138</v>
      </c>
      <c r="B1403">
        <f t="shared" si="84"/>
        <v>3</v>
      </c>
      <c r="C1403">
        <f t="shared" si="85"/>
        <v>11</v>
      </c>
      <c r="D1403">
        <f t="shared" si="86"/>
        <v>2020</v>
      </c>
      <c r="E1403" s="11">
        <v>3.1309999999999998</v>
      </c>
      <c r="F1403" s="11">
        <v>101.54900000000001</v>
      </c>
      <c r="G1403" s="11">
        <v>27.4</v>
      </c>
      <c r="H1403" s="1" t="s">
        <v>0</v>
      </c>
      <c r="I1403">
        <v>0.5</v>
      </c>
      <c r="J1403" t="s">
        <v>6</v>
      </c>
      <c r="K1403">
        <v>24.7</v>
      </c>
      <c r="L1403">
        <v>28</v>
      </c>
      <c r="M1403">
        <f t="shared" si="87"/>
        <v>1</v>
      </c>
    </row>
    <row r="1404" spans="1:13" x14ac:dyDescent="0.2">
      <c r="A1404" s="9">
        <v>44139</v>
      </c>
      <c r="B1404">
        <f t="shared" si="84"/>
        <v>4</v>
      </c>
      <c r="C1404">
        <f t="shared" si="85"/>
        <v>11</v>
      </c>
      <c r="D1404">
        <f t="shared" si="86"/>
        <v>2020</v>
      </c>
      <c r="E1404" s="11">
        <v>3.1309999999999998</v>
      </c>
      <c r="F1404" s="11">
        <v>101.54900000000001</v>
      </c>
      <c r="G1404" s="11">
        <v>27.4</v>
      </c>
      <c r="H1404" s="1" t="s">
        <v>0</v>
      </c>
      <c r="I1404">
        <v>3.3</v>
      </c>
      <c r="J1404" t="s">
        <v>6</v>
      </c>
      <c r="K1404">
        <v>24.9</v>
      </c>
      <c r="L1404">
        <v>27.2</v>
      </c>
      <c r="M1404">
        <f t="shared" si="87"/>
        <v>1</v>
      </c>
    </row>
    <row r="1405" spans="1:13" x14ac:dyDescent="0.2">
      <c r="A1405" s="9">
        <v>44140</v>
      </c>
      <c r="B1405">
        <f t="shared" si="84"/>
        <v>5</v>
      </c>
      <c r="C1405">
        <f t="shared" si="85"/>
        <v>11</v>
      </c>
      <c r="D1405">
        <f t="shared" si="86"/>
        <v>2020</v>
      </c>
      <c r="E1405" s="11">
        <v>3.1309999999999998</v>
      </c>
      <c r="F1405" s="11">
        <v>101.54900000000001</v>
      </c>
      <c r="G1405" s="11">
        <v>27.4</v>
      </c>
      <c r="H1405" s="1" t="s">
        <v>0</v>
      </c>
      <c r="I1405">
        <v>0</v>
      </c>
      <c r="J1405" t="s">
        <v>6</v>
      </c>
      <c r="K1405">
        <v>24.8</v>
      </c>
      <c r="L1405">
        <v>27.7</v>
      </c>
      <c r="M1405">
        <f t="shared" si="87"/>
        <v>0</v>
      </c>
    </row>
    <row r="1406" spans="1:13" x14ac:dyDescent="0.2">
      <c r="A1406" s="9">
        <v>44141</v>
      </c>
      <c r="B1406">
        <f t="shared" si="84"/>
        <v>6</v>
      </c>
      <c r="C1406">
        <f t="shared" si="85"/>
        <v>11</v>
      </c>
      <c r="D1406">
        <f t="shared" si="86"/>
        <v>2020</v>
      </c>
      <c r="E1406" s="11">
        <v>3.1309999999999998</v>
      </c>
      <c r="F1406" s="11">
        <v>101.54900000000001</v>
      </c>
      <c r="G1406" s="11">
        <v>27.4</v>
      </c>
      <c r="H1406" s="1" t="s">
        <v>0</v>
      </c>
      <c r="I1406">
        <v>0</v>
      </c>
      <c r="J1406" t="s">
        <v>6</v>
      </c>
      <c r="K1406">
        <v>25</v>
      </c>
      <c r="L1406">
        <v>27.3</v>
      </c>
      <c r="M1406">
        <f t="shared" si="87"/>
        <v>0</v>
      </c>
    </row>
    <row r="1407" spans="1:13" x14ac:dyDescent="0.2">
      <c r="A1407" s="9">
        <v>44142</v>
      </c>
      <c r="B1407">
        <f t="shared" si="84"/>
        <v>7</v>
      </c>
      <c r="C1407">
        <f t="shared" si="85"/>
        <v>11</v>
      </c>
      <c r="D1407">
        <f t="shared" si="86"/>
        <v>2020</v>
      </c>
      <c r="E1407" s="11">
        <v>3.1309999999999998</v>
      </c>
      <c r="F1407" s="11">
        <v>101.54900000000001</v>
      </c>
      <c r="G1407" s="11">
        <v>27.4</v>
      </c>
      <c r="H1407" s="1" t="s">
        <v>0</v>
      </c>
      <c r="I1407">
        <v>0.3</v>
      </c>
      <c r="J1407" t="s">
        <v>6</v>
      </c>
      <c r="K1407">
        <v>24.9</v>
      </c>
      <c r="L1407">
        <v>28</v>
      </c>
      <c r="M1407">
        <f t="shared" si="87"/>
        <v>1</v>
      </c>
    </row>
    <row r="1408" spans="1:13" x14ac:dyDescent="0.2">
      <c r="A1408" s="9">
        <v>44143</v>
      </c>
      <c r="B1408">
        <f t="shared" si="84"/>
        <v>8</v>
      </c>
      <c r="C1408">
        <f t="shared" si="85"/>
        <v>11</v>
      </c>
      <c r="D1408">
        <f t="shared" si="86"/>
        <v>2020</v>
      </c>
      <c r="E1408" s="11">
        <v>3.1309999999999998</v>
      </c>
      <c r="F1408" s="11">
        <v>101.54900000000001</v>
      </c>
      <c r="G1408" s="11">
        <v>27.4</v>
      </c>
      <c r="H1408" s="1" t="s">
        <v>0</v>
      </c>
      <c r="I1408">
        <v>0</v>
      </c>
      <c r="J1408">
        <v>33.299999999999997</v>
      </c>
      <c r="K1408">
        <v>24.9</v>
      </c>
      <c r="L1408">
        <v>28.3</v>
      </c>
      <c r="M1408">
        <f t="shared" si="87"/>
        <v>0</v>
      </c>
    </row>
    <row r="1409" spans="1:13" x14ac:dyDescent="0.2">
      <c r="A1409" s="9">
        <v>44144</v>
      </c>
      <c r="B1409">
        <f t="shared" si="84"/>
        <v>9</v>
      </c>
      <c r="C1409">
        <f t="shared" si="85"/>
        <v>11</v>
      </c>
      <c r="D1409">
        <f t="shared" si="86"/>
        <v>2020</v>
      </c>
      <c r="E1409" s="11">
        <v>3.1309999999999998</v>
      </c>
      <c r="F1409" s="11">
        <v>101.54900000000001</v>
      </c>
      <c r="G1409" s="11">
        <v>27.4</v>
      </c>
      <c r="H1409" s="1" t="s">
        <v>0</v>
      </c>
      <c r="I1409">
        <v>2</v>
      </c>
      <c r="J1409" t="s">
        <v>6</v>
      </c>
      <c r="K1409">
        <v>25</v>
      </c>
      <c r="L1409">
        <v>28.1</v>
      </c>
      <c r="M1409">
        <f t="shared" si="87"/>
        <v>1</v>
      </c>
    </row>
    <row r="1410" spans="1:13" x14ac:dyDescent="0.2">
      <c r="A1410" s="9">
        <v>44145</v>
      </c>
      <c r="B1410">
        <f t="shared" si="84"/>
        <v>10</v>
      </c>
      <c r="C1410">
        <f t="shared" si="85"/>
        <v>11</v>
      </c>
      <c r="D1410">
        <f t="shared" si="86"/>
        <v>2020</v>
      </c>
      <c r="E1410" s="11">
        <v>3.1309999999999998</v>
      </c>
      <c r="F1410" s="11">
        <v>101.54900000000001</v>
      </c>
      <c r="G1410" s="11">
        <v>27.4</v>
      </c>
      <c r="H1410" s="1" t="s">
        <v>0</v>
      </c>
      <c r="I1410">
        <v>0</v>
      </c>
      <c r="J1410" t="s">
        <v>6</v>
      </c>
      <c r="K1410" t="s">
        <v>6</v>
      </c>
      <c r="L1410">
        <v>27.7</v>
      </c>
      <c r="M1410">
        <f t="shared" si="87"/>
        <v>0</v>
      </c>
    </row>
    <row r="1411" spans="1:13" x14ac:dyDescent="0.2">
      <c r="A1411" s="9">
        <v>44146</v>
      </c>
      <c r="B1411">
        <f t="shared" ref="B1411:B1474" si="88">DAY(A1411)</f>
        <v>11</v>
      </c>
      <c r="C1411">
        <f t="shared" ref="C1411:C1474" si="89">MONTH(A1411)</f>
        <v>11</v>
      </c>
      <c r="D1411">
        <f t="shared" ref="D1411:D1474" si="90">YEAR(A1411)</f>
        <v>2020</v>
      </c>
      <c r="E1411" s="11">
        <v>3.1309999999999998</v>
      </c>
      <c r="F1411" s="11">
        <v>101.54900000000001</v>
      </c>
      <c r="G1411" s="11">
        <v>27.4</v>
      </c>
      <c r="H1411" s="1" t="s">
        <v>0</v>
      </c>
      <c r="I1411">
        <v>0</v>
      </c>
      <c r="J1411" t="s">
        <v>6</v>
      </c>
      <c r="K1411" t="s">
        <v>6</v>
      </c>
      <c r="L1411">
        <v>28.6</v>
      </c>
      <c r="M1411">
        <f t="shared" ref="M1411:M1474" si="91">IF(ISNUMBER(I1411), IF(I1411&gt;0, 1, 0), "")</f>
        <v>0</v>
      </c>
    </row>
    <row r="1412" spans="1:13" x14ac:dyDescent="0.2">
      <c r="A1412" s="9">
        <v>44147</v>
      </c>
      <c r="B1412">
        <f t="shared" si="88"/>
        <v>12</v>
      </c>
      <c r="C1412">
        <f t="shared" si="89"/>
        <v>11</v>
      </c>
      <c r="D1412">
        <f t="shared" si="90"/>
        <v>2020</v>
      </c>
      <c r="E1412" s="11">
        <v>3.1309999999999998</v>
      </c>
      <c r="F1412" s="11">
        <v>101.54900000000001</v>
      </c>
      <c r="G1412" s="11">
        <v>27.4</v>
      </c>
      <c r="H1412" s="1" t="s">
        <v>0</v>
      </c>
      <c r="I1412" t="s">
        <v>6</v>
      </c>
      <c r="J1412" t="s">
        <v>6</v>
      </c>
      <c r="K1412">
        <v>25.2</v>
      </c>
      <c r="L1412">
        <v>29.7</v>
      </c>
      <c r="M1412" t="str">
        <f t="shared" si="91"/>
        <v/>
      </c>
    </row>
    <row r="1413" spans="1:13" x14ac:dyDescent="0.2">
      <c r="A1413" s="9">
        <v>44148</v>
      </c>
      <c r="B1413">
        <f t="shared" si="88"/>
        <v>13</v>
      </c>
      <c r="C1413">
        <f t="shared" si="89"/>
        <v>11</v>
      </c>
      <c r="D1413">
        <f t="shared" si="90"/>
        <v>2020</v>
      </c>
      <c r="E1413" s="11">
        <v>3.1309999999999998</v>
      </c>
      <c r="F1413" s="11">
        <v>101.54900000000001</v>
      </c>
      <c r="G1413" s="11">
        <v>27.4</v>
      </c>
      <c r="H1413" s="1" t="s">
        <v>0</v>
      </c>
      <c r="I1413" t="s">
        <v>6</v>
      </c>
      <c r="J1413" t="s">
        <v>6</v>
      </c>
      <c r="K1413" t="s">
        <v>6</v>
      </c>
      <c r="L1413">
        <v>28.5</v>
      </c>
      <c r="M1413" t="str">
        <f t="shared" si="91"/>
        <v/>
      </c>
    </row>
    <row r="1414" spans="1:13" x14ac:dyDescent="0.2">
      <c r="A1414" s="9">
        <v>44149</v>
      </c>
      <c r="B1414">
        <f t="shared" si="88"/>
        <v>14</v>
      </c>
      <c r="C1414">
        <f t="shared" si="89"/>
        <v>11</v>
      </c>
      <c r="D1414">
        <f t="shared" si="90"/>
        <v>2020</v>
      </c>
      <c r="E1414" s="11">
        <v>3.1309999999999998</v>
      </c>
      <c r="F1414" s="11">
        <v>101.54900000000001</v>
      </c>
      <c r="G1414" s="11">
        <v>27.4</v>
      </c>
      <c r="H1414" s="1" t="s">
        <v>0</v>
      </c>
      <c r="I1414" t="s">
        <v>6</v>
      </c>
      <c r="J1414" t="s">
        <v>6</v>
      </c>
      <c r="K1414">
        <v>25</v>
      </c>
      <c r="L1414">
        <v>29.1</v>
      </c>
      <c r="M1414" t="str">
        <f t="shared" si="91"/>
        <v/>
      </c>
    </row>
    <row r="1415" spans="1:13" x14ac:dyDescent="0.2">
      <c r="A1415" s="9">
        <v>44150</v>
      </c>
      <c r="B1415">
        <f t="shared" si="88"/>
        <v>15</v>
      </c>
      <c r="C1415">
        <f t="shared" si="89"/>
        <v>11</v>
      </c>
      <c r="D1415">
        <f t="shared" si="90"/>
        <v>2020</v>
      </c>
      <c r="E1415" s="11">
        <v>3.1309999999999998</v>
      </c>
      <c r="F1415" s="11">
        <v>101.54900000000001</v>
      </c>
      <c r="G1415" s="11">
        <v>27.4</v>
      </c>
      <c r="H1415" s="1" t="s">
        <v>0</v>
      </c>
      <c r="I1415">
        <v>0</v>
      </c>
      <c r="J1415" t="s">
        <v>6</v>
      </c>
      <c r="K1415" t="s">
        <v>6</v>
      </c>
      <c r="L1415">
        <v>27.8</v>
      </c>
      <c r="M1415">
        <f t="shared" si="91"/>
        <v>0</v>
      </c>
    </row>
    <row r="1416" spans="1:13" x14ac:dyDescent="0.2">
      <c r="A1416" s="9">
        <v>44151</v>
      </c>
      <c r="B1416">
        <f t="shared" si="88"/>
        <v>16</v>
      </c>
      <c r="C1416">
        <f t="shared" si="89"/>
        <v>11</v>
      </c>
      <c r="D1416">
        <f t="shared" si="90"/>
        <v>2020</v>
      </c>
      <c r="E1416" s="11">
        <v>3.1309999999999998</v>
      </c>
      <c r="F1416" s="11">
        <v>101.54900000000001</v>
      </c>
      <c r="G1416" s="11">
        <v>27.4</v>
      </c>
      <c r="H1416" s="1" t="s">
        <v>0</v>
      </c>
      <c r="I1416">
        <v>49</v>
      </c>
      <c r="J1416" t="s">
        <v>6</v>
      </c>
      <c r="K1416">
        <v>23.6</v>
      </c>
      <c r="L1416">
        <v>27.8</v>
      </c>
      <c r="M1416">
        <f t="shared" si="91"/>
        <v>1</v>
      </c>
    </row>
    <row r="1417" spans="1:13" x14ac:dyDescent="0.2">
      <c r="A1417" s="9">
        <v>44152</v>
      </c>
      <c r="B1417">
        <f t="shared" si="88"/>
        <v>17</v>
      </c>
      <c r="C1417">
        <f t="shared" si="89"/>
        <v>11</v>
      </c>
      <c r="D1417">
        <f t="shared" si="90"/>
        <v>2020</v>
      </c>
      <c r="E1417" s="11">
        <v>3.1309999999999998</v>
      </c>
      <c r="F1417" s="11">
        <v>101.54900000000001</v>
      </c>
      <c r="G1417" s="11">
        <v>27.4</v>
      </c>
      <c r="H1417" s="1" t="s">
        <v>0</v>
      </c>
      <c r="I1417">
        <v>11.9</v>
      </c>
      <c r="J1417" t="s">
        <v>6</v>
      </c>
      <c r="K1417" t="s">
        <v>6</v>
      </c>
      <c r="L1417">
        <v>27.2</v>
      </c>
      <c r="M1417">
        <f t="shared" si="91"/>
        <v>1</v>
      </c>
    </row>
    <row r="1418" spans="1:13" x14ac:dyDescent="0.2">
      <c r="A1418" s="9">
        <v>44153</v>
      </c>
      <c r="B1418">
        <f t="shared" si="88"/>
        <v>18</v>
      </c>
      <c r="C1418">
        <f t="shared" si="89"/>
        <v>11</v>
      </c>
      <c r="D1418">
        <f t="shared" si="90"/>
        <v>2020</v>
      </c>
      <c r="E1418" s="11">
        <v>3.1309999999999998</v>
      </c>
      <c r="F1418" s="11">
        <v>101.54900000000001</v>
      </c>
      <c r="G1418" s="11">
        <v>27.4</v>
      </c>
      <c r="H1418" s="1" t="s">
        <v>0</v>
      </c>
      <c r="I1418">
        <v>63</v>
      </c>
      <c r="J1418">
        <v>34.4</v>
      </c>
      <c r="K1418">
        <v>24.4</v>
      </c>
      <c r="L1418">
        <v>27.4</v>
      </c>
      <c r="M1418">
        <f t="shared" si="91"/>
        <v>1</v>
      </c>
    </row>
    <row r="1419" spans="1:13" x14ac:dyDescent="0.2">
      <c r="A1419" s="9">
        <v>44154</v>
      </c>
      <c r="B1419">
        <f t="shared" si="88"/>
        <v>19</v>
      </c>
      <c r="C1419">
        <f t="shared" si="89"/>
        <v>11</v>
      </c>
      <c r="D1419">
        <f t="shared" si="90"/>
        <v>2020</v>
      </c>
      <c r="E1419" s="11">
        <v>3.1309999999999998</v>
      </c>
      <c r="F1419" s="11">
        <v>101.54900000000001</v>
      </c>
      <c r="G1419" s="11">
        <v>27.4</v>
      </c>
      <c r="H1419" s="1" t="s">
        <v>0</v>
      </c>
      <c r="I1419">
        <v>56.9</v>
      </c>
      <c r="J1419" t="s">
        <v>6</v>
      </c>
      <c r="K1419" t="s">
        <v>6</v>
      </c>
      <c r="L1419">
        <v>26.4</v>
      </c>
      <c r="M1419">
        <f t="shared" si="91"/>
        <v>1</v>
      </c>
    </row>
    <row r="1420" spans="1:13" x14ac:dyDescent="0.2">
      <c r="A1420" s="9">
        <v>44155</v>
      </c>
      <c r="B1420">
        <f t="shared" si="88"/>
        <v>20</v>
      </c>
      <c r="C1420">
        <f t="shared" si="89"/>
        <v>11</v>
      </c>
      <c r="D1420">
        <f t="shared" si="90"/>
        <v>2020</v>
      </c>
      <c r="E1420" s="11">
        <v>3.1309999999999998</v>
      </c>
      <c r="F1420" s="11">
        <v>101.54900000000001</v>
      </c>
      <c r="G1420" s="11">
        <v>27.4</v>
      </c>
      <c r="H1420" s="1" t="s">
        <v>0</v>
      </c>
      <c r="I1420">
        <v>0</v>
      </c>
      <c r="J1420" t="s">
        <v>6</v>
      </c>
      <c r="K1420">
        <v>23.7</v>
      </c>
      <c r="L1420">
        <v>27.9</v>
      </c>
      <c r="M1420">
        <f t="shared" si="91"/>
        <v>0</v>
      </c>
    </row>
    <row r="1421" spans="1:13" x14ac:dyDescent="0.2">
      <c r="A1421" s="9">
        <v>44156</v>
      </c>
      <c r="B1421">
        <f t="shared" si="88"/>
        <v>21</v>
      </c>
      <c r="C1421">
        <f t="shared" si="89"/>
        <v>11</v>
      </c>
      <c r="D1421">
        <f t="shared" si="90"/>
        <v>2020</v>
      </c>
      <c r="E1421" s="11">
        <v>3.1309999999999998</v>
      </c>
      <c r="F1421" s="11">
        <v>101.54900000000001</v>
      </c>
      <c r="G1421" s="11">
        <v>27.4</v>
      </c>
      <c r="H1421" s="1" t="s">
        <v>0</v>
      </c>
      <c r="I1421">
        <v>0</v>
      </c>
      <c r="J1421" t="s">
        <v>6</v>
      </c>
      <c r="K1421" t="s">
        <v>6</v>
      </c>
      <c r="L1421">
        <v>26</v>
      </c>
      <c r="M1421">
        <f t="shared" si="91"/>
        <v>0</v>
      </c>
    </row>
    <row r="1422" spans="1:13" x14ac:dyDescent="0.2">
      <c r="A1422" s="9">
        <v>44157</v>
      </c>
      <c r="B1422">
        <f t="shared" si="88"/>
        <v>22</v>
      </c>
      <c r="C1422">
        <f t="shared" si="89"/>
        <v>11</v>
      </c>
      <c r="D1422">
        <f t="shared" si="90"/>
        <v>2020</v>
      </c>
      <c r="E1422" s="11">
        <v>3.1309999999999998</v>
      </c>
      <c r="F1422" s="11">
        <v>101.54900000000001</v>
      </c>
      <c r="G1422" s="11">
        <v>27.4</v>
      </c>
      <c r="H1422" s="1" t="s">
        <v>0</v>
      </c>
      <c r="I1422">
        <v>16.5</v>
      </c>
      <c r="J1422" t="s">
        <v>6</v>
      </c>
      <c r="K1422" t="s">
        <v>6</v>
      </c>
      <c r="L1422">
        <v>26.9</v>
      </c>
      <c r="M1422">
        <f t="shared" si="91"/>
        <v>1</v>
      </c>
    </row>
    <row r="1423" spans="1:13" x14ac:dyDescent="0.2">
      <c r="A1423" s="9">
        <v>44158</v>
      </c>
      <c r="B1423">
        <f t="shared" si="88"/>
        <v>23</v>
      </c>
      <c r="C1423">
        <f t="shared" si="89"/>
        <v>11</v>
      </c>
      <c r="D1423">
        <f t="shared" si="90"/>
        <v>2020</v>
      </c>
      <c r="E1423" s="11">
        <v>3.1309999999999998</v>
      </c>
      <c r="F1423" s="11">
        <v>101.54900000000001</v>
      </c>
      <c r="G1423" s="11">
        <v>27.4</v>
      </c>
      <c r="H1423" s="1" t="s">
        <v>0</v>
      </c>
      <c r="I1423">
        <v>4.0999999999999996</v>
      </c>
      <c r="J1423" t="s">
        <v>6</v>
      </c>
      <c r="K1423">
        <v>24.1</v>
      </c>
      <c r="L1423">
        <v>26.7</v>
      </c>
      <c r="M1423">
        <f t="shared" si="91"/>
        <v>1</v>
      </c>
    </row>
    <row r="1424" spans="1:13" x14ac:dyDescent="0.2">
      <c r="A1424" s="9">
        <v>44159</v>
      </c>
      <c r="B1424">
        <f t="shared" si="88"/>
        <v>24</v>
      </c>
      <c r="C1424">
        <f t="shared" si="89"/>
        <v>11</v>
      </c>
      <c r="D1424">
        <f t="shared" si="90"/>
        <v>2020</v>
      </c>
      <c r="E1424" s="11">
        <v>3.1309999999999998</v>
      </c>
      <c r="F1424" s="11">
        <v>101.54900000000001</v>
      </c>
      <c r="G1424" s="11">
        <v>27.4</v>
      </c>
      <c r="H1424" s="1" t="s">
        <v>0</v>
      </c>
      <c r="I1424">
        <v>15</v>
      </c>
      <c r="J1424" t="s">
        <v>6</v>
      </c>
      <c r="K1424" t="s">
        <v>6</v>
      </c>
      <c r="L1424">
        <v>26.1</v>
      </c>
      <c r="M1424">
        <f t="shared" si="91"/>
        <v>1</v>
      </c>
    </row>
    <row r="1425" spans="1:13" x14ac:dyDescent="0.2">
      <c r="A1425" s="9">
        <v>44160</v>
      </c>
      <c r="B1425">
        <f t="shared" si="88"/>
        <v>25</v>
      </c>
      <c r="C1425">
        <f t="shared" si="89"/>
        <v>11</v>
      </c>
      <c r="D1425">
        <f t="shared" si="90"/>
        <v>2020</v>
      </c>
      <c r="E1425" s="11">
        <v>3.1309999999999998</v>
      </c>
      <c r="F1425" s="11">
        <v>101.54900000000001</v>
      </c>
      <c r="G1425" s="11">
        <v>27.4</v>
      </c>
      <c r="H1425" s="1" t="s">
        <v>0</v>
      </c>
      <c r="I1425">
        <v>26.4</v>
      </c>
      <c r="J1425" t="s">
        <v>6</v>
      </c>
      <c r="K1425">
        <v>23.7</v>
      </c>
      <c r="L1425">
        <v>26.6</v>
      </c>
      <c r="M1425">
        <f t="shared" si="91"/>
        <v>1</v>
      </c>
    </row>
    <row r="1426" spans="1:13" x14ac:dyDescent="0.2">
      <c r="A1426" s="9">
        <v>44161</v>
      </c>
      <c r="B1426">
        <f t="shared" si="88"/>
        <v>26</v>
      </c>
      <c r="C1426">
        <f t="shared" si="89"/>
        <v>11</v>
      </c>
      <c r="D1426">
        <f t="shared" si="90"/>
        <v>2020</v>
      </c>
      <c r="E1426" s="11">
        <v>3.1309999999999998</v>
      </c>
      <c r="F1426" s="11">
        <v>101.54900000000001</v>
      </c>
      <c r="G1426" s="11">
        <v>27.4</v>
      </c>
      <c r="H1426" s="1" t="s">
        <v>0</v>
      </c>
      <c r="I1426">
        <v>1</v>
      </c>
      <c r="J1426">
        <v>33.6</v>
      </c>
      <c r="K1426">
        <v>24</v>
      </c>
      <c r="L1426">
        <v>26.9</v>
      </c>
      <c r="M1426">
        <f t="shared" si="91"/>
        <v>1</v>
      </c>
    </row>
    <row r="1427" spans="1:13" x14ac:dyDescent="0.2">
      <c r="A1427" s="9">
        <v>44162</v>
      </c>
      <c r="B1427">
        <f t="shared" si="88"/>
        <v>27</v>
      </c>
      <c r="C1427">
        <f t="shared" si="89"/>
        <v>11</v>
      </c>
      <c r="D1427">
        <f t="shared" si="90"/>
        <v>2020</v>
      </c>
      <c r="E1427" s="11">
        <v>3.1309999999999998</v>
      </c>
      <c r="F1427" s="11">
        <v>101.54900000000001</v>
      </c>
      <c r="G1427" s="11">
        <v>27.4</v>
      </c>
      <c r="H1427" s="1" t="s">
        <v>0</v>
      </c>
      <c r="I1427">
        <v>11.7</v>
      </c>
      <c r="J1427" t="s">
        <v>6</v>
      </c>
      <c r="K1427" t="s">
        <v>6</v>
      </c>
      <c r="L1427">
        <v>26</v>
      </c>
      <c r="M1427">
        <f t="shared" si="91"/>
        <v>1</v>
      </c>
    </row>
    <row r="1428" spans="1:13" x14ac:dyDescent="0.2">
      <c r="A1428" s="9">
        <v>44163</v>
      </c>
      <c r="B1428">
        <f t="shared" si="88"/>
        <v>28</v>
      </c>
      <c r="C1428">
        <f t="shared" si="89"/>
        <v>11</v>
      </c>
      <c r="D1428">
        <f t="shared" si="90"/>
        <v>2020</v>
      </c>
      <c r="E1428" s="11">
        <v>3.1309999999999998</v>
      </c>
      <c r="F1428" s="11">
        <v>101.54900000000001</v>
      </c>
      <c r="G1428" s="11">
        <v>27.4</v>
      </c>
      <c r="H1428" s="1" t="s">
        <v>0</v>
      </c>
      <c r="I1428">
        <v>46</v>
      </c>
      <c r="J1428" t="s">
        <v>6</v>
      </c>
      <c r="K1428" t="s">
        <v>6</v>
      </c>
      <c r="L1428">
        <v>26.8</v>
      </c>
      <c r="M1428">
        <f t="shared" si="91"/>
        <v>1</v>
      </c>
    </row>
    <row r="1429" spans="1:13" x14ac:dyDescent="0.2">
      <c r="A1429" s="9">
        <v>44164</v>
      </c>
      <c r="B1429">
        <f t="shared" si="88"/>
        <v>29</v>
      </c>
      <c r="C1429">
        <f t="shared" si="89"/>
        <v>11</v>
      </c>
      <c r="D1429">
        <f t="shared" si="90"/>
        <v>2020</v>
      </c>
      <c r="E1429" s="11">
        <v>3.1309999999999998</v>
      </c>
      <c r="F1429" s="11">
        <v>101.54900000000001</v>
      </c>
      <c r="G1429" s="11">
        <v>27.4</v>
      </c>
      <c r="H1429" s="1" t="s">
        <v>0</v>
      </c>
      <c r="I1429">
        <v>20.3</v>
      </c>
      <c r="J1429" t="s">
        <v>6</v>
      </c>
      <c r="K1429">
        <v>23.2</v>
      </c>
      <c r="L1429">
        <v>28.3</v>
      </c>
      <c r="M1429">
        <f t="shared" si="91"/>
        <v>1</v>
      </c>
    </row>
    <row r="1430" spans="1:13" x14ac:dyDescent="0.2">
      <c r="A1430" s="9">
        <v>44165</v>
      </c>
      <c r="B1430">
        <f t="shared" si="88"/>
        <v>30</v>
      </c>
      <c r="C1430">
        <f t="shared" si="89"/>
        <v>11</v>
      </c>
      <c r="D1430">
        <f t="shared" si="90"/>
        <v>2020</v>
      </c>
      <c r="E1430" s="11">
        <v>3.1309999999999998</v>
      </c>
      <c r="F1430" s="11">
        <v>101.54900000000001</v>
      </c>
      <c r="G1430" s="11">
        <v>27.4</v>
      </c>
      <c r="H1430" s="1" t="s">
        <v>0</v>
      </c>
      <c r="I1430">
        <v>0</v>
      </c>
      <c r="J1430" t="s">
        <v>6</v>
      </c>
      <c r="K1430" t="s">
        <v>6</v>
      </c>
      <c r="L1430">
        <v>28.2</v>
      </c>
      <c r="M1430">
        <f t="shared" si="91"/>
        <v>0</v>
      </c>
    </row>
    <row r="1431" spans="1:13" x14ac:dyDescent="0.2">
      <c r="A1431" s="9">
        <v>44166</v>
      </c>
      <c r="B1431">
        <f t="shared" si="88"/>
        <v>1</v>
      </c>
      <c r="C1431">
        <f t="shared" si="89"/>
        <v>12</v>
      </c>
      <c r="D1431">
        <f t="shared" si="90"/>
        <v>2020</v>
      </c>
      <c r="E1431" s="11">
        <v>3.1309999999999998</v>
      </c>
      <c r="F1431" s="11">
        <v>101.54900000000001</v>
      </c>
      <c r="G1431" s="11">
        <v>27.4</v>
      </c>
      <c r="H1431" s="1" t="s">
        <v>0</v>
      </c>
      <c r="I1431">
        <v>6.1</v>
      </c>
      <c r="J1431" t="s">
        <v>6</v>
      </c>
      <c r="K1431">
        <v>23.4</v>
      </c>
      <c r="L1431">
        <v>27.1</v>
      </c>
      <c r="M1431">
        <f t="shared" si="91"/>
        <v>1</v>
      </c>
    </row>
    <row r="1432" spans="1:13" x14ac:dyDescent="0.2">
      <c r="A1432" s="9">
        <v>44167</v>
      </c>
      <c r="B1432">
        <f t="shared" si="88"/>
        <v>2</v>
      </c>
      <c r="C1432">
        <f t="shared" si="89"/>
        <v>12</v>
      </c>
      <c r="D1432">
        <f t="shared" si="90"/>
        <v>2020</v>
      </c>
      <c r="E1432" s="11">
        <v>3.1309999999999998</v>
      </c>
      <c r="F1432" s="11">
        <v>101.54900000000001</v>
      </c>
      <c r="G1432" s="11">
        <v>27.4</v>
      </c>
      <c r="H1432" s="1" t="s">
        <v>0</v>
      </c>
      <c r="I1432">
        <v>3</v>
      </c>
      <c r="J1432" t="s">
        <v>6</v>
      </c>
      <c r="K1432">
        <v>23.5</v>
      </c>
      <c r="L1432">
        <v>28</v>
      </c>
      <c r="M1432">
        <f t="shared" si="91"/>
        <v>1</v>
      </c>
    </row>
    <row r="1433" spans="1:13" x14ac:dyDescent="0.2">
      <c r="A1433" s="9">
        <v>44168</v>
      </c>
      <c r="B1433">
        <f t="shared" si="88"/>
        <v>3</v>
      </c>
      <c r="C1433">
        <f t="shared" si="89"/>
        <v>12</v>
      </c>
      <c r="D1433">
        <f t="shared" si="90"/>
        <v>2020</v>
      </c>
      <c r="E1433" s="11">
        <v>3.1309999999999998</v>
      </c>
      <c r="F1433" s="11">
        <v>101.54900000000001</v>
      </c>
      <c r="G1433" s="11">
        <v>27.4</v>
      </c>
      <c r="H1433" s="1" t="s">
        <v>0</v>
      </c>
      <c r="I1433">
        <v>0.8</v>
      </c>
      <c r="J1433" t="s">
        <v>6</v>
      </c>
      <c r="K1433">
        <v>24.9</v>
      </c>
      <c r="L1433">
        <v>27.7</v>
      </c>
      <c r="M1433">
        <f t="shared" si="91"/>
        <v>1</v>
      </c>
    </row>
    <row r="1434" spans="1:13" x14ac:dyDescent="0.2">
      <c r="A1434" s="9">
        <v>44169</v>
      </c>
      <c r="B1434">
        <f t="shared" si="88"/>
        <v>4</v>
      </c>
      <c r="C1434">
        <f t="shared" si="89"/>
        <v>12</v>
      </c>
      <c r="D1434">
        <f t="shared" si="90"/>
        <v>2020</v>
      </c>
      <c r="E1434" s="11">
        <v>3.1309999999999998</v>
      </c>
      <c r="F1434" s="11">
        <v>101.54900000000001</v>
      </c>
      <c r="G1434" s="11">
        <v>27.4</v>
      </c>
      <c r="H1434" s="1" t="s">
        <v>0</v>
      </c>
      <c r="I1434">
        <v>0.3</v>
      </c>
      <c r="J1434" t="s">
        <v>6</v>
      </c>
      <c r="K1434" t="s">
        <v>6</v>
      </c>
      <c r="L1434">
        <v>27.4</v>
      </c>
      <c r="M1434">
        <f t="shared" si="91"/>
        <v>1</v>
      </c>
    </row>
    <row r="1435" spans="1:13" x14ac:dyDescent="0.2">
      <c r="A1435" s="9">
        <v>44170</v>
      </c>
      <c r="B1435">
        <f t="shared" si="88"/>
        <v>5</v>
      </c>
      <c r="C1435">
        <f t="shared" si="89"/>
        <v>12</v>
      </c>
      <c r="D1435">
        <f t="shared" si="90"/>
        <v>2020</v>
      </c>
      <c r="E1435" s="11">
        <v>3.1309999999999998</v>
      </c>
      <c r="F1435" s="11">
        <v>101.54900000000001</v>
      </c>
      <c r="G1435" s="11">
        <v>27.4</v>
      </c>
      <c r="H1435" s="1" t="s">
        <v>0</v>
      </c>
      <c r="I1435">
        <v>0.3</v>
      </c>
      <c r="J1435" t="s">
        <v>6</v>
      </c>
      <c r="K1435" t="s">
        <v>6</v>
      </c>
      <c r="L1435">
        <v>27.2</v>
      </c>
      <c r="M1435">
        <f t="shared" si="91"/>
        <v>1</v>
      </c>
    </row>
    <row r="1436" spans="1:13" x14ac:dyDescent="0.2">
      <c r="A1436" s="9">
        <v>44171</v>
      </c>
      <c r="B1436">
        <f t="shared" si="88"/>
        <v>6</v>
      </c>
      <c r="C1436">
        <f t="shared" si="89"/>
        <v>12</v>
      </c>
      <c r="D1436">
        <f t="shared" si="90"/>
        <v>2020</v>
      </c>
      <c r="E1436" s="11">
        <v>3.1309999999999998</v>
      </c>
      <c r="F1436" s="11">
        <v>101.54900000000001</v>
      </c>
      <c r="G1436" s="11">
        <v>27.4</v>
      </c>
      <c r="H1436" s="1" t="s">
        <v>0</v>
      </c>
      <c r="I1436">
        <v>9.1</v>
      </c>
      <c r="J1436" t="s">
        <v>6</v>
      </c>
      <c r="K1436">
        <v>23.9</v>
      </c>
      <c r="L1436">
        <v>28.5</v>
      </c>
      <c r="M1436">
        <f t="shared" si="91"/>
        <v>1</v>
      </c>
    </row>
    <row r="1437" spans="1:13" x14ac:dyDescent="0.2">
      <c r="A1437" s="9">
        <v>44172</v>
      </c>
      <c r="B1437">
        <f t="shared" si="88"/>
        <v>7</v>
      </c>
      <c r="C1437">
        <f t="shared" si="89"/>
        <v>12</v>
      </c>
      <c r="D1437">
        <f t="shared" si="90"/>
        <v>2020</v>
      </c>
      <c r="E1437" s="11">
        <v>3.1309999999999998</v>
      </c>
      <c r="F1437" s="11">
        <v>101.54900000000001</v>
      </c>
      <c r="G1437" s="11">
        <v>27.4</v>
      </c>
      <c r="H1437" s="1" t="s">
        <v>0</v>
      </c>
      <c r="I1437">
        <v>0</v>
      </c>
      <c r="J1437" t="s">
        <v>6</v>
      </c>
      <c r="K1437">
        <v>24.2</v>
      </c>
      <c r="L1437">
        <v>27.1</v>
      </c>
      <c r="M1437">
        <f t="shared" si="91"/>
        <v>0</v>
      </c>
    </row>
    <row r="1438" spans="1:13" x14ac:dyDescent="0.2">
      <c r="A1438" s="9">
        <v>44173</v>
      </c>
      <c r="B1438">
        <f t="shared" si="88"/>
        <v>8</v>
      </c>
      <c r="C1438">
        <f t="shared" si="89"/>
        <v>12</v>
      </c>
      <c r="D1438">
        <f t="shared" si="90"/>
        <v>2020</v>
      </c>
      <c r="E1438" s="11">
        <v>3.1309999999999998</v>
      </c>
      <c r="F1438" s="11">
        <v>101.54900000000001</v>
      </c>
      <c r="G1438" s="11">
        <v>27.4</v>
      </c>
      <c r="H1438" s="1" t="s">
        <v>0</v>
      </c>
      <c r="I1438">
        <v>24.6</v>
      </c>
      <c r="J1438" t="s">
        <v>6</v>
      </c>
      <c r="K1438">
        <v>24</v>
      </c>
      <c r="L1438">
        <v>27.7</v>
      </c>
      <c r="M1438">
        <f t="shared" si="91"/>
        <v>1</v>
      </c>
    </row>
    <row r="1439" spans="1:13" x14ac:dyDescent="0.2">
      <c r="A1439" s="9">
        <v>44174</v>
      </c>
      <c r="B1439">
        <f t="shared" si="88"/>
        <v>9</v>
      </c>
      <c r="C1439">
        <f t="shared" si="89"/>
        <v>12</v>
      </c>
      <c r="D1439">
        <f t="shared" si="90"/>
        <v>2020</v>
      </c>
      <c r="E1439" s="11">
        <v>3.1309999999999998</v>
      </c>
      <c r="F1439" s="11">
        <v>101.54900000000001</v>
      </c>
      <c r="G1439" s="11">
        <v>27.4</v>
      </c>
      <c r="H1439" s="1" t="s">
        <v>0</v>
      </c>
      <c r="I1439">
        <v>7.1</v>
      </c>
      <c r="J1439" t="s">
        <v>6</v>
      </c>
      <c r="K1439" t="s">
        <v>6</v>
      </c>
      <c r="L1439">
        <v>27.2</v>
      </c>
      <c r="M1439">
        <f t="shared" si="91"/>
        <v>1</v>
      </c>
    </row>
    <row r="1440" spans="1:13" x14ac:dyDescent="0.2">
      <c r="A1440" s="9">
        <v>44175</v>
      </c>
      <c r="B1440">
        <f t="shared" si="88"/>
        <v>10</v>
      </c>
      <c r="C1440">
        <f t="shared" si="89"/>
        <v>12</v>
      </c>
      <c r="D1440">
        <f t="shared" si="90"/>
        <v>2020</v>
      </c>
      <c r="E1440" s="11">
        <v>3.1309999999999998</v>
      </c>
      <c r="F1440" s="11">
        <v>101.54900000000001</v>
      </c>
      <c r="G1440" s="11">
        <v>27.4</v>
      </c>
      <c r="H1440" s="1" t="s">
        <v>0</v>
      </c>
      <c r="I1440">
        <v>8.9</v>
      </c>
      <c r="J1440" t="s">
        <v>6</v>
      </c>
      <c r="K1440">
        <v>24.4</v>
      </c>
      <c r="L1440">
        <v>26.7</v>
      </c>
      <c r="M1440">
        <f t="shared" si="91"/>
        <v>1</v>
      </c>
    </row>
    <row r="1441" spans="1:13" x14ac:dyDescent="0.2">
      <c r="A1441" s="9">
        <v>44176</v>
      </c>
      <c r="B1441">
        <f t="shared" si="88"/>
        <v>11</v>
      </c>
      <c r="C1441">
        <f t="shared" si="89"/>
        <v>12</v>
      </c>
      <c r="D1441">
        <f t="shared" si="90"/>
        <v>2020</v>
      </c>
      <c r="E1441" s="11">
        <v>3.1309999999999998</v>
      </c>
      <c r="F1441" s="11">
        <v>101.54900000000001</v>
      </c>
      <c r="G1441" s="11">
        <v>27.4</v>
      </c>
      <c r="H1441" s="1" t="s">
        <v>0</v>
      </c>
      <c r="I1441">
        <v>0.5</v>
      </c>
      <c r="J1441" t="s">
        <v>6</v>
      </c>
      <c r="K1441">
        <v>25</v>
      </c>
      <c r="L1441">
        <v>28</v>
      </c>
      <c r="M1441">
        <f t="shared" si="91"/>
        <v>1</v>
      </c>
    </row>
    <row r="1442" spans="1:13" x14ac:dyDescent="0.2">
      <c r="A1442" s="9">
        <v>44177</v>
      </c>
      <c r="B1442">
        <f t="shared" si="88"/>
        <v>12</v>
      </c>
      <c r="C1442">
        <f t="shared" si="89"/>
        <v>12</v>
      </c>
      <c r="D1442">
        <f t="shared" si="90"/>
        <v>2020</v>
      </c>
      <c r="E1442" s="11">
        <v>3.1309999999999998</v>
      </c>
      <c r="F1442" s="11">
        <v>101.54900000000001</v>
      </c>
      <c r="G1442" s="11">
        <v>27.4</v>
      </c>
      <c r="H1442" s="1" t="s">
        <v>0</v>
      </c>
      <c r="I1442">
        <v>0</v>
      </c>
      <c r="J1442" t="s">
        <v>6</v>
      </c>
      <c r="K1442" t="s">
        <v>6</v>
      </c>
      <c r="L1442">
        <v>27.1</v>
      </c>
      <c r="M1442">
        <f t="shared" si="91"/>
        <v>0</v>
      </c>
    </row>
    <row r="1443" spans="1:13" x14ac:dyDescent="0.2">
      <c r="A1443" s="9">
        <v>44178</v>
      </c>
      <c r="B1443">
        <f t="shared" si="88"/>
        <v>13</v>
      </c>
      <c r="C1443">
        <f t="shared" si="89"/>
        <v>12</v>
      </c>
      <c r="D1443">
        <f t="shared" si="90"/>
        <v>2020</v>
      </c>
      <c r="E1443" s="11">
        <v>3.1309999999999998</v>
      </c>
      <c r="F1443" s="11">
        <v>101.54900000000001</v>
      </c>
      <c r="G1443" s="11">
        <v>27.4</v>
      </c>
      <c r="H1443" s="1" t="s">
        <v>0</v>
      </c>
      <c r="I1443">
        <v>6.1</v>
      </c>
      <c r="J1443" t="s">
        <v>6</v>
      </c>
      <c r="K1443">
        <v>22.7</v>
      </c>
      <c r="L1443">
        <v>27.7</v>
      </c>
      <c r="M1443">
        <f t="shared" si="91"/>
        <v>1</v>
      </c>
    </row>
    <row r="1444" spans="1:13" x14ac:dyDescent="0.2">
      <c r="A1444" s="9">
        <v>44179</v>
      </c>
      <c r="B1444">
        <f t="shared" si="88"/>
        <v>14</v>
      </c>
      <c r="C1444">
        <f t="shared" si="89"/>
        <v>12</v>
      </c>
      <c r="D1444">
        <f t="shared" si="90"/>
        <v>2020</v>
      </c>
      <c r="E1444" s="11">
        <v>3.1309999999999998</v>
      </c>
      <c r="F1444" s="11">
        <v>101.54900000000001</v>
      </c>
      <c r="G1444" s="11">
        <v>27.4</v>
      </c>
      <c r="H1444" s="1" t="s">
        <v>0</v>
      </c>
      <c r="I1444">
        <v>0</v>
      </c>
      <c r="J1444" t="s">
        <v>6</v>
      </c>
      <c r="K1444">
        <v>23.3</v>
      </c>
      <c r="L1444">
        <v>26.4</v>
      </c>
      <c r="M1444">
        <f t="shared" si="91"/>
        <v>0</v>
      </c>
    </row>
    <row r="1445" spans="1:13" x14ac:dyDescent="0.2">
      <c r="A1445" s="9">
        <v>44180</v>
      </c>
      <c r="B1445">
        <f t="shared" si="88"/>
        <v>15</v>
      </c>
      <c r="C1445">
        <f t="shared" si="89"/>
        <v>12</v>
      </c>
      <c r="D1445">
        <f t="shared" si="90"/>
        <v>2020</v>
      </c>
      <c r="E1445" s="11">
        <v>3.1309999999999998</v>
      </c>
      <c r="F1445" s="11">
        <v>101.54900000000001</v>
      </c>
      <c r="G1445" s="11">
        <v>27.4</v>
      </c>
      <c r="H1445" s="1" t="s">
        <v>0</v>
      </c>
      <c r="I1445">
        <v>16</v>
      </c>
      <c r="J1445" t="s">
        <v>6</v>
      </c>
      <c r="K1445" t="s">
        <v>6</v>
      </c>
      <c r="L1445">
        <v>26.2</v>
      </c>
      <c r="M1445">
        <f t="shared" si="91"/>
        <v>1</v>
      </c>
    </row>
    <row r="1446" spans="1:13" x14ac:dyDescent="0.2">
      <c r="A1446" s="9">
        <v>44181</v>
      </c>
      <c r="B1446">
        <f t="shared" si="88"/>
        <v>16</v>
      </c>
      <c r="C1446">
        <f t="shared" si="89"/>
        <v>12</v>
      </c>
      <c r="D1446">
        <f t="shared" si="90"/>
        <v>2020</v>
      </c>
      <c r="E1446" s="11">
        <v>3.1309999999999998</v>
      </c>
      <c r="F1446" s="11">
        <v>101.54900000000001</v>
      </c>
      <c r="G1446" s="11">
        <v>27.4</v>
      </c>
      <c r="H1446" s="1" t="s">
        <v>0</v>
      </c>
      <c r="I1446">
        <v>23.1</v>
      </c>
      <c r="J1446" t="s">
        <v>6</v>
      </c>
      <c r="K1446">
        <v>23.5</v>
      </c>
      <c r="L1446">
        <v>26.2</v>
      </c>
      <c r="M1446">
        <f t="shared" si="91"/>
        <v>1</v>
      </c>
    </row>
    <row r="1447" spans="1:13" x14ac:dyDescent="0.2">
      <c r="A1447" s="9">
        <v>44182</v>
      </c>
      <c r="B1447">
        <f t="shared" si="88"/>
        <v>17</v>
      </c>
      <c r="C1447">
        <f t="shared" si="89"/>
        <v>12</v>
      </c>
      <c r="D1447">
        <f t="shared" si="90"/>
        <v>2020</v>
      </c>
      <c r="E1447" s="11">
        <v>3.1309999999999998</v>
      </c>
      <c r="F1447" s="11">
        <v>101.54900000000001</v>
      </c>
      <c r="G1447" s="11">
        <v>27.4</v>
      </c>
      <c r="H1447" s="1" t="s">
        <v>0</v>
      </c>
      <c r="I1447">
        <v>6.1</v>
      </c>
      <c r="J1447" t="s">
        <v>6</v>
      </c>
      <c r="K1447">
        <v>23.7</v>
      </c>
      <c r="L1447">
        <v>25.7</v>
      </c>
      <c r="M1447">
        <f t="shared" si="91"/>
        <v>1</v>
      </c>
    </row>
    <row r="1448" spans="1:13" x14ac:dyDescent="0.2">
      <c r="A1448" s="9">
        <v>44183</v>
      </c>
      <c r="B1448">
        <f t="shared" si="88"/>
        <v>18</v>
      </c>
      <c r="C1448">
        <f t="shared" si="89"/>
        <v>12</v>
      </c>
      <c r="D1448">
        <f t="shared" si="90"/>
        <v>2020</v>
      </c>
      <c r="E1448" s="11">
        <v>3.1309999999999998</v>
      </c>
      <c r="F1448" s="11">
        <v>101.54900000000001</v>
      </c>
      <c r="G1448" s="11">
        <v>27.4</v>
      </c>
      <c r="H1448" s="1" t="s">
        <v>0</v>
      </c>
      <c r="I1448">
        <v>90.9</v>
      </c>
      <c r="J1448" t="s">
        <v>6</v>
      </c>
      <c r="K1448">
        <v>23.5</v>
      </c>
      <c r="L1448">
        <v>25.8</v>
      </c>
      <c r="M1448">
        <f t="shared" si="91"/>
        <v>1</v>
      </c>
    </row>
    <row r="1449" spans="1:13" x14ac:dyDescent="0.2">
      <c r="A1449" s="9">
        <v>44184</v>
      </c>
      <c r="B1449">
        <f t="shared" si="88"/>
        <v>19</v>
      </c>
      <c r="C1449">
        <f t="shared" si="89"/>
        <v>12</v>
      </c>
      <c r="D1449">
        <f t="shared" si="90"/>
        <v>2020</v>
      </c>
      <c r="E1449" s="11">
        <v>3.1309999999999998</v>
      </c>
      <c r="F1449" s="11">
        <v>101.54900000000001</v>
      </c>
      <c r="G1449" s="11">
        <v>27.4</v>
      </c>
      <c r="H1449" s="1" t="s">
        <v>0</v>
      </c>
      <c r="I1449">
        <v>0</v>
      </c>
      <c r="J1449" t="s">
        <v>6</v>
      </c>
      <c r="K1449">
        <v>23.7</v>
      </c>
      <c r="L1449">
        <v>26.7</v>
      </c>
      <c r="M1449">
        <f t="shared" si="91"/>
        <v>0</v>
      </c>
    </row>
    <row r="1450" spans="1:13" x14ac:dyDescent="0.2">
      <c r="A1450" s="9">
        <v>44185</v>
      </c>
      <c r="B1450">
        <f t="shared" si="88"/>
        <v>20</v>
      </c>
      <c r="C1450">
        <f t="shared" si="89"/>
        <v>12</v>
      </c>
      <c r="D1450">
        <f t="shared" si="90"/>
        <v>2020</v>
      </c>
      <c r="E1450" s="11">
        <v>3.1309999999999998</v>
      </c>
      <c r="F1450" s="11">
        <v>101.54900000000001</v>
      </c>
      <c r="G1450" s="11">
        <v>27.4</v>
      </c>
      <c r="H1450" s="1" t="s">
        <v>0</v>
      </c>
      <c r="I1450">
        <v>0.5</v>
      </c>
      <c r="J1450" t="s">
        <v>6</v>
      </c>
      <c r="K1450">
        <v>24</v>
      </c>
      <c r="L1450">
        <v>26.8</v>
      </c>
      <c r="M1450">
        <f t="shared" si="91"/>
        <v>1</v>
      </c>
    </row>
    <row r="1451" spans="1:13" x14ac:dyDescent="0.2">
      <c r="A1451" s="9">
        <v>44186</v>
      </c>
      <c r="B1451">
        <f t="shared" si="88"/>
        <v>21</v>
      </c>
      <c r="C1451">
        <f t="shared" si="89"/>
        <v>12</v>
      </c>
      <c r="D1451">
        <f t="shared" si="90"/>
        <v>2020</v>
      </c>
      <c r="E1451" s="11">
        <v>3.1309999999999998</v>
      </c>
      <c r="F1451" s="11">
        <v>101.54900000000001</v>
      </c>
      <c r="G1451" s="11">
        <v>27.4</v>
      </c>
      <c r="H1451" s="1" t="s">
        <v>0</v>
      </c>
      <c r="I1451">
        <v>0</v>
      </c>
      <c r="J1451" t="s">
        <v>6</v>
      </c>
      <c r="K1451" t="s">
        <v>6</v>
      </c>
      <c r="L1451">
        <v>27.2</v>
      </c>
      <c r="M1451">
        <f t="shared" si="91"/>
        <v>0</v>
      </c>
    </row>
    <row r="1452" spans="1:13" x14ac:dyDescent="0.2">
      <c r="A1452" s="9">
        <v>44187</v>
      </c>
      <c r="B1452">
        <f t="shared" si="88"/>
        <v>22</v>
      </c>
      <c r="C1452">
        <f t="shared" si="89"/>
        <v>12</v>
      </c>
      <c r="D1452">
        <f t="shared" si="90"/>
        <v>2020</v>
      </c>
      <c r="E1452" s="11">
        <v>3.1309999999999998</v>
      </c>
      <c r="F1452" s="11">
        <v>101.54900000000001</v>
      </c>
      <c r="G1452" s="11">
        <v>27.4</v>
      </c>
      <c r="H1452" s="1" t="s">
        <v>0</v>
      </c>
      <c r="I1452">
        <v>0.5</v>
      </c>
      <c r="J1452" t="s">
        <v>6</v>
      </c>
      <c r="K1452">
        <v>24.2</v>
      </c>
      <c r="L1452">
        <v>27.8</v>
      </c>
      <c r="M1452">
        <f t="shared" si="91"/>
        <v>1</v>
      </c>
    </row>
    <row r="1453" spans="1:13" x14ac:dyDescent="0.2">
      <c r="A1453" s="9">
        <v>44188</v>
      </c>
      <c r="B1453">
        <f t="shared" si="88"/>
        <v>23</v>
      </c>
      <c r="C1453">
        <f t="shared" si="89"/>
        <v>12</v>
      </c>
      <c r="D1453">
        <f t="shared" si="90"/>
        <v>2020</v>
      </c>
      <c r="E1453" s="11">
        <v>3.1309999999999998</v>
      </c>
      <c r="F1453" s="11">
        <v>101.54900000000001</v>
      </c>
      <c r="G1453" s="11">
        <v>27.4</v>
      </c>
      <c r="H1453" s="1" t="s">
        <v>0</v>
      </c>
      <c r="I1453">
        <v>0</v>
      </c>
      <c r="J1453" t="s">
        <v>6</v>
      </c>
      <c r="K1453">
        <v>24.7</v>
      </c>
      <c r="L1453">
        <v>28.7</v>
      </c>
      <c r="M1453">
        <f t="shared" si="91"/>
        <v>0</v>
      </c>
    </row>
    <row r="1454" spans="1:13" x14ac:dyDescent="0.2">
      <c r="A1454" s="9">
        <v>44189</v>
      </c>
      <c r="B1454">
        <f t="shared" si="88"/>
        <v>24</v>
      </c>
      <c r="C1454">
        <f t="shared" si="89"/>
        <v>12</v>
      </c>
      <c r="D1454">
        <f t="shared" si="90"/>
        <v>2020</v>
      </c>
      <c r="E1454" s="11">
        <v>3.1309999999999998</v>
      </c>
      <c r="F1454" s="11">
        <v>101.54900000000001</v>
      </c>
      <c r="G1454" s="11">
        <v>27.4</v>
      </c>
      <c r="H1454" s="1" t="s">
        <v>0</v>
      </c>
      <c r="I1454">
        <v>0.5</v>
      </c>
      <c r="J1454" t="s">
        <v>6</v>
      </c>
      <c r="K1454" t="s">
        <v>6</v>
      </c>
      <c r="L1454">
        <v>27.8</v>
      </c>
      <c r="M1454">
        <f t="shared" si="91"/>
        <v>1</v>
      </c>
    </row>
    <row r="1455" spans="1:13" x14ac:dyDescent="0.2">
      <c r="A1455" s="9">
        <v>44190</v>
      </c>
      <c r="B1455">
        <f t="shared" si="88"/>
        <v>25</v>
      </c>
      <c r="C1455">
        <f t="shared" si="89"/>
        <v>12</v>
      </c>
      <c r="D1455">
        <f t="shared" si="90"/>
        <v>2020</v>
      </c>
      <c r="E1455" s="11">
        <v>3.1309999999999998</v>
      </c>
      <c r="F1455" s="11">
        <v>101.54900000000001</v>
      </c>
      <c r="G1455" s="11">
        <v>27.4</v>
      </c>
      <c r="H1455" s="1" t="s">
        <v>0</v>
      </c>
      <c r="I1455">
        <v>0</v>
      </c>
      <c r="J1455" t="s">
        <v>6</v>
      </c>
      <c r="K1455">
        <v>25.1</v>
      </c>
      <c r="L1455">
        <v>29.3</v>
      </c>
      <c r="M1455">
        <f t="shared" si="91"/>
        <v>0</v>
      </c>
    </row>
    <row r="1456" spans="1:13" x14ac:dyDescent="0.2">
      <c r="A1456" s="9">
        <v>44191</v>
      </c>
      <c r="B1456">
        <f t="shared" si="88"/>
        <v>26</v>
      </c>
      <c r="C1456">
        <f t="shared" si="89"/>
        <v>12</v>
      </c>
      <c r="D1456">
        <f t="shared" si="90"/>
        <v>2020</v>
      </c>
      <c r="E1456" s="11">
        <v>3.1309999999999998</v>
      </c>
      <c r="F1456" s="11">
        <v>101.54900000000001</v>
      </c>
      <c r="G1456" s="11">
        <v>27.4</v>
      </c>
      <c r="H1456" s="1" t="s">
        <v>0</v>
      </c>
      <c r="I1456">
        <v>0</v>
      </c>
      <c r="J1456" t="s">
        <v>6</v>
      </c>
      <c r="K1456" t="s">
        <v>6</v>
      </c>
      <c r="L1456">
        <v>26.9</v>
      </c>
      <c r="M1456">
        <f t="shared" si="91"/>
        <v>0</v>
      </c>
    </row>
    <row r="1457" spans="1:13" x14ac:dyDescent="0.2">
      <c r="A1457" s="9">
        <v>44192</v>
      </c>
      <c r="B1457">
        <f t="shared" si="88"/>
        <v>27</v>
      </c>
      <c r="C1457">
        <f t="shared" si="89"/>
        <v>12</v>
      </c>
      <c r="D1457">
        <f t="shared" si="90"/>
        <v>2020</v>
      </c>
      <c r="E1457" s="11">
        <v>3.1309999999999998</v>
      </c>
      <c r="F1457" s="11">
        <v>101.54900000000001</v>
      </c>
      <c r="G1457" s="11">
        <v>27.4</v>
      </c>
      <c r="H1457" s="1" t="s">
        <v>0</v>
      </c>
      <c r="I1457">
        <v>17.8</v>
      </c>
      <c r="J1457" t="s">
        <v>6</v>
      </c>
      <c r="K1457">
        <v>23.8</v>
      </c>
      <c r="L1457">
        <v>27.7</v>
      </c>
      <c r="M1457">
        <f t="shared" si="91"/>
        <v>1</v>
      </c>
    </row>
    <row r="1458" spans="1:13" x14ac:dyDescent="0.2">
      <c r="A1458" s="9">
        <v>44193</v>
      </c>
      <c r="B1458">
        <f t="shared" si="88"/>
        <v>28</v>
      </c>
      <c r="C1458">
        <f t="shared" si="89"/>
        <v>12</v>
      </c>
      <c r="D1458">
        <f t="shared" si="90"/>
        <v>2020</v>
      </c>
      <c r="E1458" s="11">
        <v>3.1309999999999998</v>
      </c>
      <c r="F1458" s="11">
        <v>101.54900000000001</v>
      </c>
      <c r="G1458" s="11">
        <v>27.4</v>
      </c>
      <c r="H1458" s="1" t="s">
        <v>0</v>
      </c>
      <c r="I1458">
        <v>14</v>
      </c>
      <c r="J1458" t="s">
        <v>6</v>
      </c>
      <c r="K1458">
        <v>24.3</v>
      </c>
      <c r="L1458">
        <v>27.1</v>
      </c>
      <c r="M1458">
        <f t="shared" si="91"/>
        <v>1</v>
      </c>
    </row>
    <row r="1459" spans="1:13" x14ac:dyDescent="0.2">
      <c r="A1459" s="9">
        <v>44194</v>
      </c>
      <c r="B1459">
        <f t="shared" si="88"/>
        <v>29</v>
      </c>
      <c r="C1459">
        <f t="shared" si="89"/>
        <v>12</v>
      </c>
      <c r="D1459">
        <f t="shared" si="90"/>
        <v>2020</v>
      </c>
      <c r="E1459" s="11">
        <v>3.1309999999999998</v>
      </c>
      <c r="F1459" s="11">
        <v>101.54900000000001</v>
      </c>
      <c r="G1459" s="11">
        <v>27.4</v>
      </c>
      <c r="H1459" s="1" t="s">
        <v>0</v>
      </c>
      <c r="I1459">
        <v>20.100000000000001</v>
      </c>
      <c r="J1459" t="s">
        <v>6</v>
      </c>
      <c r="K1459" t="s">
        <v>6</v>
      </c>
      <c r="L1459">
        <v>25.9</v>
      </c>
      <c r="M1459">
        <f t="shared" si="91"/>
        <v>1</v>
      </c>
    </row>
    <row r="1460" spans="1:13" x14ac:dyDescent="0.2">
      <c r="A1460" s="9">
        <v>44195</v>
      </c>
      <c r="B1460">
        <f t="shared" si="88"/>
        <v>30</v>
      </c>
      <c r="C1460">
        <f t="shared" si="89"/>
        <v>12</v>
      </c>
      <c r="D1460">
        <f t="shared" si="90"/>
        <v>2020</v>
      </c>
      <c r="E1460" s="11">
        <v>3.1309999999999998</v>
      </c>
      <c r="F1460" s="11">
        <v>101.54900000000001</v>
      </c>
      <c r="G1460" s="11">
        <v>27.4</v>
      </c>
      <c r="H1460" s="1" t="s">
        <v>0</v>
      </c>
      <c r="I1460">
        <v>46</v>
      </c>
      <c r="J1460" t="s">
        <v>6</v>
      </c>
      <c r="K1460">
        <v>23.1</v>
      </c>
      <c r="L1460">
        <v>27.2</v>
      </c>
      <c r="M1460">
        <f t="shared" si="91"/>
        <v>1</v>
      </c>
    </row>
    <row r="1461" spans="1:13" x14ac:dyDescent="0.2">
      <c r="A1461" s="9">
        <v>44196</v>
      </c>
      <c r="B1461">
        <f t="shared" si="88"/>
        <v>31</v>
      </c>
      <c r="C1461">
        <f t="shared" si="89"/>
        <v>12</v>
      </c>
      <c r="D1461">
        <f t="shared" si="90"/>
        <v>2020</v>
      </c>
      <c r="E1461" s="11">
        <v>3.1309999999999998</v>
      </c>
      <c r="F1461" s="11">
        <v>101.54900000000001</v>
      </c>
      <c r="G1461" s="11">
        <v>27.4</v>
      </c>
      <c r="H1461" s="1" t="s">
        <v>0</v>
      </c>
      <c r="I1461">
        <v>0.3</v>
      </c>
      <c r="J1461">
        <v>33.1</v>
      </c>
      <c r="K1461" t="s">
        <v>6</v>
      </c>
      <c r="L1461">
        <v>27.3</v>
      </c>
      <c r="M1461">
        <f t="shared" si="91"/>
        <v>1</v>
      </c>
    </row>
    <row r="1462" spans="1:13" x14ac:dyDescent="0.2">
      <c r="A1462" s="9">
        <v>44197</v>
      </c>
      <c r="B1462">
        <f t="shared" si="88"/>
        <v>1</v>
      </c>
      <c r="C1462">
        <f t="shared" si="89"/>
        <v>1</v>
      </c>
      <c r="D1462">
        <f t="shared" si="90"/>
        <v>2021</v>
      </c>
      <c r="E1462" s="11">
        <v>3.1309999999999998</v>
      </c>
      <c r="F1462" s="11">
        <v>101.54900000000001</v>
      </c>
      <c r="G1462" s="11">
        <v>27.4</v>
      </c>
      <c r="H1462" s="1" t="s">
        <v>0</v>
      </c>
      <c r="I1462">
        <v>3.3</v>
      </c>
      <c r="J1462" t="s">
        <v>6</v>
      </c>
      <c r="K1462">
        <v>24.4</v>
      </c>
      <c r="L1462">
        <v>27.3</v>
      </c>
      <c r="M1462">
        <f t="shared" si="91"/>
        <v>1</v>
      </c>
    </row>
    <row r="1463" spans="1:13" x14ac:dyDescent="0.2">
      <c r="A1463" s="9">
        <v>44198</v>
      </c>
      <c r="B1463">
        <f t="shared" si="88"/>
        <v>2</v>
      </c>
      <c r="C1463">
        <f t="shared" si="89"/>
        <v>1</v>
      </c>
      <c r="D1463">
        <f t="shared" si="90"/>
        <v>2021</v>
      </c>
      <c r="E1463" s="11">
        <v>3.1309999999999998</v>
      </c>
      <c r="F1463" s="11">
        <v>101.54900000000001</v>
      </c>
      <c r="G1463" s="11">
        <v>27.4</v>
      </c>
      <c r="H1463" s="1" t="s">
        <v>0</v>
      </c>
      <c r="I1463">
        <v>0</v>
      </c>
      <c r="J1463" t="s">
        <v>6</v>
      </c>
      <c r="K1463" t="s">
        <v>6</v>
      </c>
      <c r="L1463">
        <v>26.1</v>
      </c>
      <c r="M1463">
        <f t="shared" si="91"/>
        <v>0</v>
      </c>
    </row>
    <row r="1464" spans="1:13" x14ac:dyDescent="0.2">
      <c r="A1464" s="9">
        <v>44199</v>
      </c>
      <c r="B1464">
        <f t="shared" si="88"/>
        <v>3</v>
      </c>
      <c r="C1464">
        <f t="shared" si="89"/>
        <v>1</v>
      </c>
      <c r="D1464">
        <f t="shared" si="90"/>
        <v>2021</v>
      </c>
      <c r="E1464" s="11">
        <v>3.1309999999999998</v>
      </c>
      <c r="F1464" s="11">
        <v>101.54900000000001</v>
      </c>
      <c r="G1464" s="11">
        <v>27.4</v>
      </c>
      <c r="H1464" s="1" t="s">
        <v>0</v>
      </c>
      <c r="I1464">
        <v>37.799999999999997</v>
      </c>
      <c r="J1464" t="s">
        <v>6</v>
      </c>
      <c r="K1464" t="s">
        <v>6</v>
      </c>
      <c r="L1464">
        <v>23.3</v>
      </c>
      <c r="M1464">
        <f t="shared" si="91"/>
        <v>1</v>
      </c>
    </row>
    <row r="1465" spans="1:13" x14ac:dyDescent="0.2">
      <c r="A1465" s="9">
        <v>44200</v>
      </c>
      <c r="B1465">
        <f t="shared" si="88"/>
        <v>4</v>
      </c>
      <c r="C1465">
        <f t="shared" si="89"/>
        <v>1</v>
      </c>
      <c r="D1465">
        <f t="shared" si="90"/>
        <v>2021</v>
      </c>
      <c r="E1465" s="11">
        <v>3.1309999999999998</v>
      </c>
      <c r="F1465" s="11">
        <v>101.54900000000001</v>
      </c>
      <c r="G1465" s="11">
        <v>27.4</v>
      </c>
      <c r="H1465" s="1" t="s">
        <v>0</v>
      </c>
      <c r="I1465">
        <v>9.9</v>
      </c>
      <c r="J1465" t="s">
        <v>6</v>
      </c>
      <c r="K1465">
        <v>22.8</v>
      </c>
      <c r="L1465">
        <v>26.2</v>
      </c>
      <c r="M1465">
        <f t="shared" si="91"/>
        <v>1</v>
      </c>
    </row>
    <row r="1466" spans="1:13" x14ac:dyDescent="0.2">
      <c r="A1466" s="9">
        <v>44201</v>
      </c>
      <c r="B1466">
        <f t="shared" si="88"/>
        <v>5</v>
      </c>
      <c r="C1466">
        <f t="shared" si="89"/>
        <v>1</v>
      </c>
      <c r="D1466">
        <f t="shared" si="90"/>
        <v>2021</v>
      </c>
      <c r="E1466" s="11">
        <v>3.1309999999999998</v>
      </c>
      <c r="F1466" s="11">
        <v>101.54900000000001</v>
      </c>
      <c r="G1466" s="11">
        <v>27.4</v>
      </c>
      <c r="H1466" s="1" t="s">
        <v>0</v>
      </c>
      <c r="I1466">
        <v>0</v>
      </c>
      <c r="J1466" t="s">
        <v>6</v>
      </c>
      <c r="K1466">
        <v>23</v>
      </c>
      <c r="L1466">
        <v>27.5</v>
      </c>
      <c r="M1466">
        <f t="shared" si="91"/>
        <v>0</v>
      </c>
    </row>
    <row r="1467" spans="1:13" x14ac:dyDescent="0.2">
      <c r="A1467" s="9">
        <v>44202</v>
      </c>
      <c r="B1467">
        <f t="shared" si="88"/>
        <v>6</v>
      </c>
      <c r="C1467">
        <f t="shared" si="89"/>
        <v>1</v>
      </c>
      <c r="D1467">
        <f t="shared" si="90"/>
        <v>2021</v>
      </c>
      <c r="E1467" s="11">
        <v>3.1309999999999998</v>
      </c>
      <c r="F1467" s="11">
        <v>101.54900000000001</v>
      </c>
      <c r="G1467" s="11">
        <v>27.4</v>
      </c>
      <c r="H1467" s="1" t="s">
        <v>0</v>
      </c>
      <c r="I1467">
        <v>1.5</v>
      </c>
      <c r="J1467" t="s">
        <v>6</v>
      </c>
      <c r="K1467" t="s">
        <v>6</v>
      </c>
      <c r="L1467">
        <v>25.9</v>
      </c>
      <c r="M1467">
        <f t="shared" si="91"/>
        <v>1</v>
      </c>
    </row>
    <row r="1468" spans="1:13" x14ac:dyDescent="0.2">
      <c r="A1468" s="9">
        <v>44203</v>
      </c>
      <c r="B1468">
        <f t="shared" si="88"/>
        <v>7</v>
      </c>
      <c r="C1468">
        <f t="shared" si="89"/>
        <v>1</v>
      </c>
      <c r="D1468">
        <f t="shared" si="90"/>
        <v>2021</v>
      </c>
      <c r="E1468" s="11">
        <v>3.1309999999999998</v>
      </c>
      <c r="F1468" s="11">
        <v>101.54900000000001</v>
      </c>
      <c r="G1468" s="11">
        <v>27.4</v>
      </c>
      <c r="H1468" s="1" t="s">
        <v>0</v>
      </c>
      <c r="I1468">
        <v>0</v>
      </c>
      <c r="J1468" t="s">
        <v>6</v>
      </c>
      <c r="K1468">
        <v>24.2</v>
      </c>
      <c r="L1468">
        <v>27.2</v>
      </c>
      <c r="M1468">
        <f t="shared" si="91"/>
        <v>0</v>
      </c>
    </row>
    <row r="1469" spans="1:13" x14ac:dyDescent="0.2">
      <c r="A1469" s="9">
        <v>44204</v>
      </c>
      <c r="B1469">
        <f t="shared" si="88"/>
        <v>8</v>
      </c>
      <c r="C1469">
        <f t="shared" si="89"/>
        <v>1</v>
      </c>
      <c r="D1469">
        <f t="shared" si="90"/>
        <v>2021</v>
      </c>
      <c r="E1469" s="11">
        <v>3.1309999999999998</v>
      </c>
      <c r="F1469" s="11">
        <v>101.54900000000001</v>
      </c>
      <c r="G1469" s="11">
        <v>27.4</v>
      </c>
      <c r="H1469" s="1" t="s">
        <v>0</v>
      </c>
      <c r="I1469">
        <v>0.5</v>
      </c>
      <c r="J1469" t="s">
        <v>6</v>
      </c>
      <c r="K1469" t="s">
        <v>6</v>
      </c>
      <c r="L1469">
        <v>27.9</v>
      </c>
      <c r="M1469">
        <f t="shared" si="91"/>
        <v>1</v>
      </c>
    </row>
    <row r="1470" spans="1:13" x14ac:dyDescent="0.2">
      <c r="A1470" s="9">
        <v>44205</v>
      </c>
      <c r="B1470">
        <f t="shared" si="88"/>
        <v>9</v>
      </c>
      <c r="C1470">
        <f t="shared" si="89"/>
        <v>1</v>
      </c>
      <c r="D1470">
        <f t="shared" si="90"/>
        <v>2021</v>
      </c>
      <c r="E1470" s="11">
        <v>3.1309999999999998</v>
      </c>
      <c r="F1470" s="11">
        <v>101.54900000000001</v>
      </c>
      <c r="G1470" s="11">
        <v>27.4</v>
      </c>
      <c r="H1470" s="1" t="s">
        <v>0</v>
      </c>
      <c r="I1470">
        <v>2.2999999999999998</v>
      </c>
      <c r="J1470" t="s">
        <v>6</v>
      </c>
      <c r="K1470">
        <v>24</v>
      </c>
      <c r="L1470">
        <v>27</v>
      </c>
      <c r="M1470">
        <f t="shared" si="91"/>
        <v>1</v>
      </c>
    </row>
    <row r="1471" spans="1:13" x14ac:dyDescent="0.2">
      <c r="A1471" s="9">
        <v>44206</v>
      </c>
      <c r="B1471">
        <f t="shared" si="88"/>
        <v>10</v>
      </c>
      <c r="C1471">
        <f t="shared" si="89"/>
        <v>1</v>
      </c>
      <c r="D1471">
        <f t="shared" si="90"/>
        <v>2021</v>
      </c>
      <c r="E1471" s="11">
        <v>3.1309999999999998</v>
      </c>
      <c r="F1471" s="11">
        <v>101.54900000000001</v>
      </c>
      <c r="G1471" s="11">
        <v>27.4</v>
      </c>
      <c r="H1471" s="1" t="s">
        <v>0</v>
      </c>
      <c r="I1471">
        <v>0.3</v>
      </c>
      <c r="J1471">
        <v>31.1</v>
      </c>
      <c r="K1471" t="s">
        <v>6</v>
      </c>
      <c r="L1471">
        <v>27.6</v>
      </c>
      <c r="M1471">
        <f t="shared" si="91"/>
        <v>1</v>
      </c>
    </row>
    <row r="1472" spans="1:13" x14ac:dyDescent="0.2">
      <c r="A1472" s="9">
        <v>44207</v>
      </c>
      <c r="B1472">
        <f t="shared" si="88"/>
        <v>11</v>
      </c>
      <c r="C1472">
        <f t="shared" si="89"/>
        <v>1</v>
      </c>
      <c r="D1472">
        <f t="shared" si="90"/>
        <v>2021</v>
      </c>
      <c r="E1472" s="11">
        <v>3.1309999999999998</v>
      </c>
      <c r="F1472" s="11">
        <v>101.54900000000001</v>
      </c>
      <c r="G1472" s="11">
        <v>27.4</v>
      </c>
      <c r="H1472" s="1" t="s">
        <v>0</v>
      </c>
      <c r="I1472">
        <v>0</v>
      </c>
      <c r="J1472" t="s">
        <v>6</v>
      </c>
      <c r="K1472" t="s">
        <v>6</v>
      </c>
      <c r="L1472">
        <v>27.8</v>
      </c>
      <c r="M1472">
        <f t="shared" si="91"/>
        <v>0</v>
      </c>
    </row>
    <row r="1473" spans="1:13" x14ac:dyDescent="0.2">
      <c r="A1473" s="9">
        <v>44208</v>
      </c>
      <c r="B1473">
        <f t="shared" si="88"/>
        <v>12</v>
      </c>
      <c r="C1473">
        <f t="shared" si="89"/>
        <v>1</v>
      </c>
      <c r="D1473">
        <f t="shared" si="90"/>
        <v>2021</v>
      </c>
      <c r="E1473" s="11">
        <v>3.1309999999999998</v>
      </c>
      <c r="F1473" s="11">
        <v>101.54900000000001</v>
      </c>
      <c r="G1473" s="11">
        <v>27.4</v>
      </c>
      <c r="H1473" s="1" t="s">
        <v>0</v>
      </c>
      <c r="I1473" t="s">
        <v>6</v>
      </c>
      <c r="J1473" t="s">
        <v>6</v>
      </c>
      <c r="K1473">
        <v>24.3</v>
      </c>
      <c r="L1473">
        <v>27.8</v>
      </c>
      <c r="M1473" t="str">
        <f t="shared" si="91"/>
        <v/>
      </c>
    </row>
    <row r="1474" spans="1:13" x14ac:dyDescent="0.2">
      <c r="A1474" s="9">
        <v>44209</v>
      </c>
      <c r="B1474">
        <f t="shared" si="88"/>
        <v>13</v>
      </c>
      <c r="C1474">
        <f t="shared" si="89"/>
        <v>1</v>
      </c>
      <c r="D1474">
        <f t="shared" si="90"/>
        <v>2021</v>
      </c>
      <c r="E1474" s="11">
        <v>3.1309999999999998</v>
      </c>
      <c r="F1474" s="11">
        <v>101.54900000000001</v>
      </c>
      <c r="G1474" s="11">
        <v>27.4</v>
      </c>
      <c r="H1474" s="1" t="s">
        <v>0</v>
      </c>
      <c r="I1474" t="s">
        <v>6</v>
      </c>
      <c r="J1474" t="s">
        <v>6</v>
      </c>
      <c r="K1474" t="s">
        <v>6</v>
      </c>
      <c r="L1474">
        <v>27.2</v>
      </c>
      <c r="M1474" t="str">
        <f t="shared" si="91"/>
        <v/>
      </c>
    </row>
    <row r="1475" spans="1:13" x14ac:dyDescent="0.2">
      <c r="A1475" s="9">
        <v>44210</v>
      </c>
      <c r="B1475">
        <f t="shared" ref="B1475:B1538" si="92">DAY(A1475)</f>
        <v>14</v>
      </c>
      <c r="C1475">
        <f t="shared" ref="C1475:C1538" si="93">MONTH(A1475)</f>
        <v>1</v>
      </c>
      <c r="D1475">
        <f t="shared" ref="D1475:D1538" si="94">YEAR(A1475)</f>
        <v>2021</v>
      </c>
      <c r="E1475" s="11">
        <v>3.1309999999999998</v>
      </c>
      <c r="F1475" s="11">
        <v>101.54900000000001</v>
      </c>
      <c r="G1475" s="11">
        <v>27.4</v>
      </c>
      <c r="H1475" s="1" t="s">
        <v>0</v>
      </c>
      <c r="I1475">
        <v>1</v>
      </c>
      <c r="J1475" t="s">
        <v>6</v>
      </c>
      <c r="K1475">
        <v>23.8</v>
      </c>
      <c r="L1475">
        <v>27.3</v>
      </c>
      <c r="M1475">
        <f t="shared" ref="M1475:M1538" si="95">IF(ISNUMBER(I1475), IF(I1475&gt;0, 1, 0), "")</f>
        <v>1</v>
      </c>
    </row>
    <row r="1476" spans="1:13" x14ac:dyDescent="0.2">
      <c r="A1476" s="9">
        <v>44211</v>
      </c>
      <c r="B1476">
        <f t="shared" si="92"/>
        <v>15</v>
      </c>
      <c r="C1476">
        <f t="shared" si="93"/>
        <v>1</v>
      </c>
      <c r="D1476">
        <f t="shared" si="94"/>
        <v>2021</v>
      </c>
      <c r="E1476" s="11">
        <v>3.1309999999999998</v>
      </c>
      <c r="F1476" s="11">
        <v>101.54900000000001</v>
      </c>
      <c r="G1476" s="11">
        <v>27.4</v>
      </c>
      <c r="H1476" s="1" t="s">
        <v>0</v>
      </c>
      <c r="I1476">
        <v>0</v>
      </c>
      <c r="J1476" t="s">
        <v>6</v>
      </c>
      <c r="K1476">
        <v>24</v>
      </c>
      <c r="L1476">
        <v>27.4</v>
      </c>
      <c r="M1476">
        <f t="shared" si="95"/>
        <v>0</v>
      </c>
    </row>
    <row r="1477" spans="1:13" x14ac:dyDescent="0.2">
      <c r="A1477" s="9">
        <v>44212</v>
      </c>
      <c r="B1477">
        <f t="shared" si="92"/>
        <v>16</v>
      </c>
      <c r="C1477">
        <f t="shared" si="93"/>
        <v>1</v>
      </c>
      <c r="D1477">
        <f t="shared" si="94"/>
        <v>2021</v>
      </c>
      <c r="E1477" s="11">
        <v>3.1309999999999998</v>
      </c>
      <c r="F1477" s="11">
        <v>101.54900000000001</v>
      </c>
      <c r="G1477" s="11">
        <v>27.4</v>
      </c>
      <c r="H1477" s="1" t="s">
        <v>0</v>
      </c>
      <c r="I1477">
        <v>7.1</v>
      </c>
      <c r="J1477" t="s">
        <v>6</v>
      </c>
      <c r="K1477">
        <v>23.7</v>
      </c>
      <c r="L1477">
        <v>28.9</v>
      </c>
      <c r="M1477">
        <f t="shared" si="95"/>
        <v>1</v>
      </c>
    </row>
    <row r="1478" spans="1:13" x14ac:dyDescent="0.2">
      <c r="A1478" s="9">
        <v>44213</v>
      </c>
      <c r="B1478">
        <f t="shared" si="92"/>
        <v>17</v>
      </c>
      <c r="C1478">
        <f t="shared" si="93"/>
        <v>1</v>
      </c>
      <c r="D1478">
        <f t="shared" si="94"/>
        <v>2021</v>
      </c>
      <c r="E1478" s="11">
        <v>3.1309999999999998</v>
      </c>
      <c r="F1478" s="11">
        <v>101.54900000000001</v>
      </c>
      <c r="G1478" s="11">
        <v>27.4</v>
      </c>
      <c r="H1478" s="1" t="s">
        <v>0</v>
      </c>
      <c r="I1478">
        <v>0</v>
      </c>
      <c r="J1478">
        <v>33.5</v>
      </c>
      <c r="K1478">
        <v>23.9</v>
      </c>
      <c r="L1478">
        <v>28.5</v>
      </c>
      <c r="M1478">
        <f t="shared" si="95"/>
        <v>0</v>
      </c>
    </row>
    <row r="1479" spans="1:13" x14ac:dyDescent="0.2">
      <c r="A1479" s="9">
        <v>44214</v>
      </c>
      <c r="B1479">
        <f t="shared" si="92"/>
        <v>18</v>
      </c>
      <c r="C1479">
        <f t="shared" si="93"/>
        <v>1</v>
      </c>
      <c r="D1479">
        <f t="shared" si="94"/>
        <v>2021</v>
      </c>
      <c r="E1479" s="11">
        <v>3.1309999999999998</v>
      </c>
      <c r="F1479" s="11">
        <v>101.54900000000001</v>
      </c>
      <c r="G1479" s="11">
        <v>27.4</v>
      </c>
      <c r="H1479" s="1" t="s">
        <v>0</v>
      </c>
      <c r="I1479">
        <v>0</v>
      </c>
      <c r="J1479" t="s">
        <v>6</v>
      </c>
      <c r="K1479" t="s">
        <v>6</v>
      </c>
      <c r="L1479">
        <v>27.4</v>
      </c>
      <c r="M1479">
        <f t="shared" si="95"/>
        <v>0</v>
      </c>
    </row>
    <row r="1480" spans="1:13" x14ac:dyDescent="0.2">
      <c r="A1480" s="9">
        <v>44215</v>
      </c>
      <c r="B1480">
        <f t="shared" si="92"/>
        <v>19</v>
      </c>
      <c r="C1480">
        <f t="shared" si="93"/>
        <v>1</v>
      </c>
      <c r="D1480">
        <f t="shared" si="94"/>
        <v>2021</v>
      </c>
      <c r="E1480" s="11">
        <v>3.1309999999999998</v>
      </c>
      <c r="F1480" s="11">
        <v>101.54900000000001</v>
      </c>
      <c r="G1480" s="11">
        <v>27.4</v>
      </c>
      <c r="H1480" s="1" t="s">
        <v>0</v>
      </c>
      <c r="I1480" t="s">
        <v>6</v>
      </c>
      <c r="J1480" t="s">
        <v>6</v>
      </c>
      <c r="K1480" t="s">
        <v>6</v>
      </c>
      <c r="L1480">
        <v>26.5</v>
      </c>
      <c r="M1480" t="str">
        <f t="shared" si="95"/>
        <v/>
      </c>
    </row>
    <row r="1481" spans="1:13" x14ac:dyDescent="0.2">
      <c r="A1481" s="9">
        <v>44216</v>
      </c>
      <c r="B1481">
        <f t="shared" si="92"/>
        <v>20</v>
      </c>
      <c r="C1481">
        <f t="shared" si="93"/>
        <v>1</v>
      </c>
      <c r="D1481">
        <f t="shared" si="94"/>
        <v>2021</v>
      </c>
      <c r="E1481" s="11">
        <v>3.1309999999999998</v>
      </c>
      <c r="F1481" s="11">
        <v>101.54900000000001</v>
      </c>
      <c r="G1481" s="11">
        <v>27.4</v>
      </c>
      <c r="H1481" s="1" t="s">
        <v>0</v>
      </c>
      <c r="I1481" t="s">
        <v>6</v>
      </c>
      <c r="J1481" t="s">
        <v>6</v>
      </c>
      <c r="K1481">
        <v>23.2</v>
      </c>
      <c r="L1481">
        <v>27.3</v>
      </c>
      <c r="M1481" t="str">
        <f t="shared" si="95"/>
        <v/>
      </c>
    </row>
    <row r="1482" spans="1:13" x14ac:dyDescent="0.2">
      <c r="A1482" s="9">
        <v>44217</v>
      </c>
      <c r="B1482">
        <f t="shared" si="92"/>
        <v>21</v>
      </c>
      <c r="C1482">
        <f t="shared" si="93"/>
        <v>1</v>
      </c>
      <c r="D1482">
        <f t="shared" si="94"/>
        <v>2021</v>
      </c>
      <c r="E1482" s="11">
        <v>3.1309999999999998</v>
      </c>
      <c r="F1482" s="11">
        <v>101.54900000000001</v>
      </c>
      <c r="G1482" s="11">
        <v>27.4</v>
      </c>
      <c r="H1482" s="1" t="s">
        <v>0</v>
      </c>
      <c r="I1482">
        <v>0</v>
      </c>
      <c r="J1482" t="s">
        <v>6</v>
      </c>
      <c r="K1482">
        <v>24.1</v>
      </c>
      <c r="L1482">
        <v>27.7</v>
      </c>
      <c r="M1482">
        <f t="shared" si="95"/>
        <v>0</v>
      </c>
    </row>
    <row r="1483" spans="1:13" x14ac:dyDescent="0.2">
      <c r="A1483" s="9">
        <v>44218</v>
      </c>
      <c r="B1483">
        <f t="shared" si="92"/>
        <v>22</v>
      </c>
      <c r="C1483">
        <f t="shared" si="93"/>
        <v>1</v>
      </c>
      <c r="D1483">
        <f t="shared" si="94"/>
        <v>2021</v>
      </c>
      <c r="E1483" s="11">
        <v>3.1309999999999998</v>
      </c>
      <c r="F1483" s="11">
        <v>101.54900000000001</v>
      </c>
      <c r="G1483" s="11">
        <v>27.4</v>
      </c>
      <c r="H1483" s="1" t="s">
        <v>0</v>
      </c>
      <c r="I1483">
        <v>0</v>
      </c>
      <c r="J1483" t="s">
        <v>6</v>
      </c>
      <c r="K1483">
        <v>24.5</v>
      </c>
      <c r="L1483">
        <v>27.1</v>
      </c>
      <c r="M1483">
        <f t="shared" si="95"/>
        <v>0</v>
      </c>
    </row>
    <row r="1484" spans="1:13" x14ac:dyDescent="0.2">
      <c r="A1484" s="9">
        <v>44219</v>
      </c>
      <c r="B1484">
        <f t="shared" si="92"/>
        <v>23</v>
      </c>
      <c r="C1484">
        <f t="shared" si="93"/>
        <v>1</v>
      </c>
      <c r="D1484">
        <f t="shared" si="94"/>
        <v>2021</v>
      </c>
      <c r="E1484" s="11">
        <v>3.1309999999999998</v>
      </c>
      <c r="F1484" s="11">
        <v>101.54900000000001</v>
      </c>
      <c r="G1484" s="11">
        <v>27.4</v>
      </c>
      <c r="H1484" s="1" t="s">
        <v>0</v>
      </c>
      <c r="I1484" t="s">
        <v>6</v>
      </c>
      <c r="J1484" t="s">
        <v>6</v>
      </c>
      <c r="K1484">
        <v>24.6</v>
      </c>
      <c r="L1484">
        <v>27.1</v>
      </c>
      <c r="M1484" t="str">
        <f t="shared" si="95"/>
        <v/>
      </c>
    </row>
    <row r="1485" spans="1:13" x14ac:dyDescent="0.2">
      <c r="A1485" s="9">
        <v>44220</v>
      </c>
      <c r="B1485">
        <f t="shared" si="92"/>
        <v>24</v>
      </c>
      <c r="C1485">
        <f t="shared" si="93"/>
        <v>1</v>
      </c>
      <c r="D1485">
        <f t="shared" si="94"/>
        <v>2021</v>
      </c>
      <c r="E1485" s="11">
        <v>3.1309999999999998</v>
      </c>
      <c r="F1485" s="11">
        <v>101.54900000000001</v>
      </c>
      <c r="G1485" s="11">
        <v>27.4</v>
      </c>
      <c r="H1485" s="1" t="s">
        <v>0</v>
      </c>
      <c r="I1485" t="s">
        <v>6</v>
      </c>
      <c r="J1485" t="s">
        <v>6</v>
      </c>
      <c r="K1485">
        <v>24.7</v>
      </c>
      <c r="L1485">
        <v>27.6</v>
      </c>
      <c r="M1485" t="str">
        <f t="shared" si="95"/>
        <v/>
      </c>
    </row>
    <row r="1486" spans="1:13" x14ac:dyDescent="0.2">
      <c r="A1486" s="9">
        <v>44221</v>
      </c>
      <c r="B1486">
        <f t="shared" si="92"/>
        <v>25</v>
      </c>
      <c r="C1486">
        <f t="shared" si="93"/>
        <v>1</v>
      </c>
      <c r="D1486">
        <f t="shared" si="94"/>
        <v>2021</v>
      </c>
      <c r="E1486" s="11">
        <v>3.1309999999999998</v>
      </c>
      <c r="F1486" s="11">
        <v>101.54900000000001</v>
      </c>
      <c r="G1486" s="11">
        <v>27.4</v>
      </c>
      <c r="H1486" s="1" t="s">
        <v>0</v>
      </c>
      <c r="I1486" t="s">
        <v>6</v>
      </c>
      <c r="J1486" t="s">
        <v>6</v>
      </c>
      <c r="K1486">
        <v>25</v>
      </c>
      <c r="L1486">
        <v>27.1</v>
      </c>
      <c r="M1486" t="str">
        <f t="shared" si="95"/>
        <v/>
      </c>
    </row>
    <row r="1487" spans="1:13" x14ac:dyDescent="0.2">
      <c r="A1487" s="9">
        <v>44222</v>
      </c>
      <c r="B1487">
        <f t="shared" si="92"/>
        <v>26</v>
      </c>
      <c r="C1487">
        <f t="shared" si="93"/>
        <v>1</v>
      </c>
      <c r="D1487">
        <f t="shared" si="94"/>
        <v>2021</v>
      </c>
      <c r="E1487" s="11">
        <v>3.1309999999999998</v>
      </c>
      <c r="F1487" s="11">
        <v>101.54900000000001</v>
      </c>
      <c r="G1487" s="11">
        <v>27.4</v>
      </c>
      <c r="H1487" s="1" t="s">
        <v>0</v>
      </c>
      <c r="I1487" t="s">
        <v>6</v>
      </c>
      <c r="J1487" t="s">
        <v>6</v>
      </c>
      <c r="K1487" t="s">
        <v>6</v>
      </c>
      <c r="L1487">
        <v>27.2</v>
      </c>
      <c r="M1487" t="str">
        <f t="shared" si="95"/>
        <v/>
      </c>
    </row>
    <row r="1488" spans="1:13" x14ac:dyDescent="0.2">
      <c r="A1488" s="9">
        <v>44223</v>
      </c>
      <c r="B1488">
        <f t="shared" si="92"/>
        <v>27</v>
      </c>
      <c r="C1488">
        <f t="shared" si="93"/>
        <v>1</v>
      </c>
      <c r="D1488">
        <f t="shared" si="94"/>
        <v>2021</v>
      </c>
      <c r="E1488" s="11">
        <v>3.1309999999999998</v>
      </c>
      <c r="F1488" s="11">
        <v>101.54900000000001</v>
      </c>
      <c r="G1488" s="11">
        <v>27.4</v>
      </c>
      <c r="H1488" s="1" t="s">
        <v>0</v>
      </c>
      <c r="I1488" t="s">
        <v>6</v>
      </c>
      <c r="J1488" t="s">
        <v>6</v>
      </c>
      <c r="K1488">
        <v>23.4</v>
      </c>
      <c r="L1488">
        <v>26.9</v>
      </c>
      <c r="M1488" t="str">
        <f t="shared" si="95"/>
        <v/>
      </c>
    </row>
    <row r="1489" spans="1:13" x14ac:dyDescent="0.2">
      <c r="A1489" s="9">
        <v>44224</v>
      </c>
      <c r="B1489">
        <f t="shared" si="92"/>
        <v>28</v>
      </c>
      <c r="C1489">
        <f t="shared" si="93"/>
        <v>1</v>
      </c>
      <c r="D1489">
        <f t="shared" si="94"/>
        <v>2021</v>
      </c>
      <c r="E1489" s="11">
        <v>3.1309999999999998</v>
      </c>
      <c r="F1489" s="11">
        <v>101.54900000000001</v>
      </c>
      <c r="G1489" s="11">
        <v>27.4</v>
      </c>
      <c r="H1489" s="1" t="s">
        <v>0</v>
      </c>
      <c r="I1489" t="s">
        <v>6</v>
      </c>
      <c r="J1489" t="s">
        <v>6</v>
      </c>
      <c r="K1489" t="s">
        <v>6</v>
      </c>
      <c r="L1489">
        <v>26.1</v>
      </c>
      <c r="M1489" t="str">
        <f t="shared" si="95"/>
        <v/>
      </c>
    </row>
    <row r="1490" spans="1:13" x14ac:dyDescent="0.2">
      <c r="A1490" s="9">
        <v>44225</v>
      </c>
      <c r="B1490">
        <f t="shared" si="92"/>
        <v>29</v>
      </c>
      <c r="C1490">
        <f t="shared" si="93"/>
        <v>1</v>
      </c>
      <c r="D1490">
        <f t="shared" si="94"/>
        <v>2021</v>
      </c>
      <c r="E1490" s="11">
        <v>3.1309999999999998</v>
      </c>
      <c r="F1490" s="11">
        <v>101.54900000000001</v>
      </c>
      <c r="G1490" s="11">
        <v>27.4</v>
      </c>
      <c r="H1490" s="1" t="s">
        <v>0</v>
      </c>
      <c r="I1490" t="s">
        <v>6</v>
      </c>
      <c r="J1490" t="s">
        <v>6</v>
      </c>
      <c r="K1490">
        <v>22.6</v>
      </c>
      <c r="L1490">
        <v>27.6</v>
      </c>
      <c r="M1490" t="str">
        <f t="shared" si="95"/>
        <v/>
      </c>
    </row>
    <row r="1491" spans="1:13" x14ac:dyDescent="0.2">
      <c r="A1491" s="9">
        <v>44226</v>
      </c>
      <c r="B1491">
        <f t="shared" si="92"/>
        <v>30</v>
      </c>
      <c r="C1491">
        <f t="shared" si="93"/>
        <v>1</v>
      </c>
      <c r="D1491">
        <f t="shared" si="94"/>
        <v>2021</v>
      </c>
      <c r="E1491" s="11">
        <v>3.1309999999999998</v>
      </c>
      <c r="F1491" s="11">
        <v>101.54900000000001</v>
      </c>
      <c r="G1491" s="11">
        <v>27.4</v>
      </c>
      <c r="H1491" s="1" t="s">
        <v>0</v>
      </c>
      <c r="I1491" t="s">
        <v>6</v>
      </c>
      <c r="J1491" t="s">
        <v>6</v>
      </c>
      <c r="K1491">
        <v>23.5</v>
      </c>
      <c r="L1491">
        <v>27.9</v>
      </c>
      <c r="M1491" t="str">
        <f t="shared" si="95"/>
        <v/>
      </c>
    </row>
    <row r="1492" spans="1:13" x14ac:dyDescent="0.2">
      <c r="A1492" s="9">
        <v>44227</v>
      </c>
      <c r="B1492">
        <f t="shared" si="92"/>
        <v>31</v>
      </c>
      <c r="C1492">
        <f t="shared" si="93"/>
        <v>1</v>
      </c>
      <c r="D1492">
        <f t="shared" si="94"/>
        <v>2021</v>
      </c>
      <c r="E1492" s="11">
        <v>3.1309999999999998</v>
      </c>
      <c r="F1492" s="11">
        <v>101.54900000000001</v>
      </c>
      <c r="G1492" s="11">
        <v>27.4</v>
      </c>
      <c r="H1492" s="1" t="s">
        <v>0</v>
      </c>
      <c r="I1492">
        <v>0</v>
      </c>
      <c r="J1492" t="s">
        <v>6</v>
      </c>
      <c r="K1492" t="s">
        <v>6</v>
      </c>
      <c r="L1492">
        <v>27.1</v>
      </c>
      <c r="M1492">
        <f t="shared" si="95"/>
        <v>0</v>
      </c>
    </row>
    <row r="1493" spans="1:13" x14ac:dyDescent="0.2">
      <c r="A1493" s="9">
        <v>44228</v>
      </c>
      <c r="B1493">
        <f t="shared" si="92"/>
        <v>1</v>
      </c>
      <c r="C1493">
        <f t="shared" si="93"/>
        <v>2</v>
      </c>
      <c r="D1493">
        <f t="shared" si="94"/>
        <v>2021</v>
      </c>
      <c r="E1493" s="11">
        <v>3.1309999999999998</v>
      </c>
      <c r="F1493" s="11">
        <v>101.54900000000001</v>
      </c>
      <c r="G1493" s="11">
        <v>27.4</v>
      </c>
      <c r="H1493" s="1" t="s">
        <v>0</v>
      </c>
      <c r="I1493">
        <v>57.9</v>
      </c>
      <c r="J1493" t="s">
        <v>6</v>
      </c>
      <c r="K1493">
        <v>23.4</v>
      </c>
      <c r="L1493">
        <v>28.3</v>
      </c>
      <c r="M1493">
        <f t="shared" si="95"/>
        <v>1</v>
      </c>
    </row>
    <row r="1494" spans="1:13" x14ac:dyDescent="0.2">
      <c r="A1494" s="9">
        <v>44229</v>
      </c>
      <c r="B1494">
        <f t="shared" si="92"/>
        <v>2</v>
      </c>
      <c r="C1494">
        <f t="shared" si="93"/>
        <v>2</v>
      </c>
      <c r="D1494">
        <f t="shared" si="94"/>
        <v>2021</v>
      </c>
      <c r="E1494" s="11">
        <v>3.1309999999999998</v>
      </c>
      <c r="F1494" s="11">
        <v>101.54900000000001</v>
      </c>
      <c r="G1494" s="11">
        <v>27.4</v>
      </c>
      <c r="H1494" s="1" t="s">
        <v>0</v>
      </c>
      <c r="I1494">
        <v>0</v>
      </c>
      <c r="J1494" t="s">
        <v>6</v>
      </c>
      <c r="K1494">
        <v>24.4</v>
      </c>
      <c r="L1494">
        <v>28.6</v>
      </c>
      <c r="M1494">
        <f t="shared" si="95"/>
        <v>0</v>
      </c>
    </row>
    <row r="1495" spans="1:13" x14ac:dyDescent="0.2">
      <c r="A1495" s="9">
        <v>44230</v>
      </c>
      <c r="B1495">
        <f t="shared" si="92"/>
        <v>3</v>
      </c>
      <c r="C1495">
        <f t="shared" si="93"/>
        <v>2</v>
      </c>
      <c r="D1495">
        <f t="shared" si="94"/>
        <v>2021</v>
      </c>
      <c r="E1495" s="11">
        <v>3.1309999999999998</v>
      </c>
      <c r="F1495" s="11">
        <v>101.54900000000001</v>
      </c>
      <c r="G1495" s="11">
        <v>27.4</v>
      </c>
      <c r="H1495" s="1" t="s">
        <v>0</v>
      </c>
      <c r="I1495" t="s">
        <v>6</v>
      </c>
      <c r="J1495" t="s">
        <v>6</v>
      </c>
      <c r="K1495" t="s">
        <v>6</v>
      </c>
      <c r="L1495">
        <v>27.8</v>
      </c>
      <c r="M1495" t="str">
        <f t="shared" si="95"/>
        <v/>
      </c>
    </row>
    <row r="1496" spans="1:13" x14ac:dyDescent="0.2">
      <c r="A1496" s="9">
        <v>44231</v>
      </c>
      <c r="B1496">
        <f t="shared" si="92"/>
        <v>4</v>
      </c>
      <c r="C1496">
        <f t="shared" si="93"/>
        <v>2</v>
      </c>
      <c r="D1496">
        <f t="shared" si="94"/>
        <v>2021</v>
      </c>
      <c r="E1496" s="11">
        <v>3.1309999999999998</v>
      </c>
      <c r="F1496" s="11">
        <v>101.54900000000001</v>
      </c>
      <c r="G1496" s="11">
        <v>27.4</v>
      </c>
      <c r="H1496" s="1" t="s">
        <v>0</v>
      </c>
      <c r="I1496" t="s">
        <v>6</v>
      </c>
      <c r="J1496" t="s">
        <v>6</v>
      </c>
      <c r="K1496" t="s">
        <v>6</v>
      </c>
      <c r="L1496">
        <v>27.9</v>
      </c>
      <c r="M1496" t="str">
        <f t="shared" si="95"/>
        <v/>
      </c>
    </row>
    <row r="1497" spans="1:13" x14ac:dyDescent="0.2">
      <c r="A1497" s="9">
        <v>44232</v>
      </c>
      <c r="B1497">
        <f t="shared" si="92"/>
        <v>5</v>
      </c>
      <c r="C1497">
        <f t="shared" si="93"/>
        <v>2</v>
      </c>
      <c r="D1497">
        <f t="shared" si="94"/>
        <v>2021</v>
      </c>
      <c r="E1497" s="11">
        <v>3.1309999999999998</v>
      </c>
      <c r="F1497" s="11">
        <v>101.54900000000001</v>
      </c>
      <c r="G1497" s="11">
        <v>27.4</v>
      </c>
      <c r="H1497" s="1" t="s">
        <v>0</v>
      </c>
      <c r="I1497" t="s">
        <v>6</v>
      </c>
      <c r="J1497" t="s">
        <v>6</v>
      </c>
      <c r="K1497">
        <v>22.6</v>
      </c>
      <c r="L1497">
        <v>28.4</v>
      </c>
      <c r="M1497" t="str">
        <f t="shared" si="95"/>
        <v/>
      </c>
    </row>
    <row r="1498" spans="1:13" x14ac:dyDescent="0.2">
      <c r="A1498" s="9">
        <v>44233</v>
      </c>
      <c r="B1498">
        <f t="shared" si="92"/>
        <v>6</v>
      </c>
      <c r="C1498">
        <f t="shared" si="93"/>
        <v>2</v>
      </c>
      <c r="D1498">
        <f t="shared" si="94"/>
        <v>2021</v>
      </c>
      <c r="E1498" s="11">
        <v>3.1309999999999998</v>
      </c>
      <c r="F1498" s="11">
        <v>101.54900000000001</v>
      </c>
      <c r="G1498" s="11">
        <v>27.4</v>
      </c>
      <c r="H1498" s="1" t="s">
        <v>0</v>
      </c>
      <c r="I1498">
        <v>0</v>
      </c>
      <c r="J1498">
        <v>34.9</v>
      </c>
      <c r="K1498">
        <v>22.8</v>
      </c>
      <c r="L1498">
        <v>28.7</v>
      </c>
      <c r="M1498">
        <f t="shared" si="95"/>
        <v>0</v>
      </c>
    </row>
    <row r="1499" spans="1:13" x14ac:dyDescent="0.2">
      <c r="A1499" s="9">
        <v>44234</v>
      </c>
      <c r="B1499">
        <f t="shared" si="92"/>
        <v>7</v>
      </c>
      <c r="C1499">
        <f t="shared" si="93"/>
        <v>2</v>
      </c>
      <c r="D1499">
        <f t="shared" si="94"/>
        <v>2021</v>
      </c>
      <c r="E1499" s="11">
        <v>3.1309999999999998</v>
      </c>
      <c r="F1499" s="11">
        <v>101.54900000000001</v>
      </c>
      <c r="G1499" s="11">
        <v>27.4</v>
      </c>
      <c r="H1499" s="1" t="s">
        <v>0</v>
      </c>
      <c r="I1499">
        <v>0.5</v>
      </c>
      <c r="J1499" t="s">
        <v>6</v>
      </c>
      <c r="K1499">
        <v>24.3</v>
      </c>
      <c r="L1499">
        <v>28.8</v>
      </c>
      <c r="M1499">
        <f t="shared" si="95"/>
        <v>1</v>
      </c>
    </row>
    <row r="1500" spans="1:13" x14ac:dyDescent="0.2">
      <c r="A1500" s="9">
        <v>44235</v>
      </c>
      <c r="B1500">
        <f t="shared" si="92"/>
        <v>8</v>
      </c>
      <c r="C1500">
        <f t="shared" si="93"/>
        <v>2</v>
      </c>
      <c r="D1500">
        <f t="shared" si="94"/>
        <v>2021</v>
      </c>
      <c r="E1500" s="11">
        <v>3.1309999999999998</v>
      </c>
      <c r="F1500" s="11">
        <v>101.54900000000001</v>
      </c>
      <c r="G1500" s="11">
        <v>27.4</v>
      </c>
      <c r="H1500" s="1" t="s">
        <v>0</v>
      </c>
      <c r="I1500">
        <v>0</v>
      </c>
      <c r="J1500" t="s">
        <v>6</v>
      </c>
      <c r="K1500" t="s">
        <v>6</v>
      </c>
      <c r="L1500">
        <v>27.4</v>
      </c>
      <c r="M1500">
        <f t="shared" si="95"/>
        <v>0</v>
      </c>
    </row>
    <row r="1501" spans="1:13" x14ac:dyDescent="0.2">
      <c r="A1501" s="9">
        <v>44236</v>
      </c>
      <c r="B1501">
        <f t="shared" si="92"/>
        <v>9</v>
      </c>
      <c r="C1501">
        <f t="shared" si="93"/>
        <v>2</v>
      </c>
      <c r="D1501">
        <f t="shared" si="94"/>
        <v>2021</v>
      </c>
      <c r="E1501" s="11">
        <v>3.1309999999999998</v>
      </c>
      <c r="F1501" s="11">
        <v>101.54900000000001</v>
      </c>
      <c r="G1501" s="11">
        <v>27.4</v>
      </c>
      <c r="H1501" s="1" t="s">
        <v>0</v>
      </c>
      <c r="I1501">
        <v>3</v>
      </c>
      <c r="J1501">
        <v>33.799999999999997</v>
      </c>
      <c r="K1501">
        <v>24.5</v>
      </c>
      <c r="L1501">
        <v>28.8</v>
      </c>
      <c r="M1501">
        <f t="shared" si="95"/>
        <v>1</v>
      </c>
    </row>
    <row r="1502" spans="1:13" x14ac:dyDescent="0.2">
      <c r="A1502" s="9">
        <v>44237</v>
      </c>
      <c r="B1502">
        <f t="shared" si="92"/>
        <v>10</v>
      </c>
      <c r="C1502">
        <f t="shared" si="93"/>
        <v>2</v>
      </c>
      <c r="D1502">
        <f t="shared" si="94"/>
        <v>2021</v>
      </c>
      <c r="E1502" s="11">
        <v>3.1309999999999998</v>
      </c>
      <c r="F1502" s="11">
        <v>101.54900000000001</v>
      </c>
      <c r="G1502" s="11">
        <v>27.4</v>
      </c>
      <c r="H1502" s="1" t="s">
        <v>0</v>
      </c>
      <c r="I1502">
        <v>0</v>
      </c>
      <c r="J1502" t="s">
        <v>6</v>
      </c>
      <c r="K1502" t="s">
        <v>6</v>
      </c>
      <c r="L1502">
        <v>29.4</v>
      </c>
      <c r="M1502">
        <f t="shared" si="95"/>
        <v>0</v>
      </c>
    </row>
    <row r="1503" spans="1:13" x14ac:dyDescent="0.2">
      <c r="A1503" s="9">
        <v>44240</v>
      </c>
      <c r="B1503">
        <f t="shared" si="92"/>
        <v>13</v>
      </c>
      <c r="C1503">
        <f t="shared" si="93"/>
        <v>2</v>
      </c>
      <c r="D1503">
        <f t="shared" si="94"/>
        <v>2021</v>
      </c>
      <c r="E1503" s="11">
        <v>3.1309999999999998</v>
      </c>
      <c r="F1503" s="11">
        <v>101.54900000000001</v>
      </c>
      <c r="G1503" s="11">
        <v>27.4</v>
      </c>
      <c r="H1503" s="1" t="s">
        <v>0</v>
      </c>
      <c r="I1503" t="s">
        <v>6</v>
      </c>
      <c r="J1503" t="s">
        <v>6</v>
      </c>
      <c r="K1503" t="s">
        <v>6</v>
      </c>
      <c r="L1503">
        <v>27.8</v>
      </c>
      <c r="M1503" t="str">
        <f t="shared" si="95"/>
        <v/>
      </c>
    </row>
    <row r="1504" spans="1:13" x14ac:dyDescent="0.2">
      <c r="A1504" s="9">
        <v>44241</v>
      </c>
      <c r="B1504">
        <f t="shared" si="92"/>
        <v>14</v>
      </c>
      <c r="C1504">
        <f t="shared" si="93"/>
        <v>2</v>
      </c>
      <c r="D1504">
        <f t="shared" si="94"/>
        <v>2021</v>
      </c>
      <c r="E1504" s="11">
        <v>3.1309999999999998</v>
      </c>
      <c r="F1504" s="11">
        <v>101.54900000000001</v>
      </c>
      <c r="G1504" s="11">
        <v>27.4</v>
      </c>
      <c r="H1504" s="1" t="s">
        <v>0</v>
      </c>
      <c r="I1504">
        <v>0</v>
      </c>
      <c r="J1504" t="s">
        <v>6</v>
      </c>
      <c r="K1504">
        <v>25</v>
      </c>
      <c r="L1504">
        <v>29.6</v>
      </c>
      <c r="M1504">
        <f t="shared" si="95"/>
        <v>0</v>
      </c>
    </row>
    <row r="1505" spans="1:13" x14ac:dyDescent="0.2">
      <c r="A1505" s="9">
        <v>44242</v>
      </c>
      <c r="B1505">
        <f t="shared" si="92"/>
        <v>15</v>
      </c>
      <c r="C1505">
        <f t="shared" si="93"/>
        <v>2</v>
      </c>
      <c r="D1505">
        <f t="shared" si="94"/>
        <v>2021</v>
      </c>
      <c r="E1505" s="11">
        <v>3.1309999999999998</v>
      </c>
      <c r="F1505" s="11">
        <v>101.54900000000001</v>
      </c>
      <c r="G1505" s="11">
        <v>27.4</v>
      </c>
      <c r="H1505" s="1" t="s">
        <v>0</v>
      </c>
      <c r="I1505" t="s">
        <v>6</v>
      </c>
      <c r="J1505" t="s">
        <v>6</v>
      </c>
      <c r="K1505">
        <v>25.6</v>
      </c>
      <c r="L1505">
        <v>29.8</v>
      </c>
      <c r="M1505" t="str">
        <f t="shared" si="95"/>
        <v/>
      </c>
    </row>
    <row r="1506" spans="1:13" x14ac:dyDescent="0.2">
      <c r="A1506" s="9">
        <v>44243</v>
      </c>
      <c r="B1506">
        <f t="shared" si="92"/>
        <v>16</v>
      </c>
      <c r="C1506">
        <f t="shared" si="93"/>
        <v>2</v>
      </c>
      <c r="D1506">
        <f t="shared" si="94"/>
        <v>2021</v>
      </c>
      <c r="E1506" s="11">
        <v>3.1309999999999998</v>
      </c>
      <c r="F1506" s="11">
        <v>101.54900000000001</v>
      </c>
      <c r="G1506" s="11">
        <v>27.4</v>
      </c>
      <c r="H1506" s="1" t="s">
        <v>0</v>
      </c>
      <c r="I1506" t="s">
        <v>6</v>
      </c>
      <c r="J1506" t="s">
        <v>6</v>
      </c>
      <c r="K1506">
        <v>25.5</v>
      </c>
      <c r="L1506">
        <v>29.1</v>
      </c>
      <c r="M1506" t="str">
        <f t="shared" si="95"/>
        <v/>
      </c>
    </row>
    <row r="1507" spans="1:13" x14ac:dyDescent="0.2">
      <c r="A1507" s="9">
        <v>44244</v>
      </c>
      <c r="B1507">
        <f t="shared" si="92"/>
        <v>17</v>
      </c>
      <c r="C1507">
        <f t="shared" si="93"/>
        <v>2</v>
      </c>
      <c r="D1507">
        <f t="shared" si="94"/>
        <v>2021</v>
      </c>
      <c r="E1507" s="11">
        <v>3.1309999999999998</v>
      </c>
      <c r="F1507" s="11">
        <v>101.54900000000001</v>
      </c>
      <c r="G1507" s="11">
        <v>27.4</v>
      </c>
      <c r="H1507" s="1" t="s">
        <v>0</v>
      </c>
      <c r="I1507" t="s">
        <v>6</v>
      </c>
      <c r="J1507" t="s">
        <v>6</v>
      </c>
      <c r="K1507" t="s">
        <v>6</v>
      </c>
      <c r="L1507">
        <v>27.7</v>
      </c>
      <c r="M1507" t="str">
        <f t="shared" si="95"/>
        <v/>
      </c>
    </row>
    <row r="1508" spans="1:13" x14ac:dyDescent="0.2">
      <c r="A1508" s="9">
        <v>44245</v>
      </c>
      <c r="B1508">
        <f t="shared" si="92"/>
        <v>18</v>
      </c>
      <c r="C1508">
        <f t="shared" si="93"/>
        <v>2</v>
      </c>
      <c r="D1508">
        <f t="shared" si="94"/>
        <v>2021</v>
      </c>
      <c r="E1508" s="11">
        <v>3.1309999999999998</v>
      </c>
      <c r="F1508" s="11">
        <v>101.54900000000001</v>
      </c>
      <c r="G1508" s="11">
        <v>27.4</v>
      </c>
      <c r="H1508" s="1" t="s">
        <v>0</v>
      </c>
      <c r="I1508" t="s">
        <v>6</v>
      </c>
      <c r="J1508" t="s">
        <v>6</v>
      </c>
      <c r="K1508">
        <v>24</v>
      </c>
      <c r="L1508">
        <v>28.5</v>
      </c>
      <c r="M1508" t="str">
        <f t="shared" si="95"/>
        <v/>
      </c>
    </row>
    <row r="1509" spans="1:13" x14ac:dyDescent="0.2">
      <c r="A1509" s="9">
        <v>44246</v>
      </c>
      <c r="B1509">
        <f t="shared" si="92"/>
        <v>19</v>
      </c>
      <c r="C1509">
        <f t="shared" si="93"/>
        <v>2</v>
      </c>
      <c r="D1509">
        <f t="shared" si="94"/>
        <v>2021</v>
      </c>
      <c r="E1509" s="11">
        <v>3.1309999999999998</v>
      </c>
      <c r="F1509" s="11">
        <v>101.54900000000001</v>
      </c>
      <c r="G1509" s="11">
        <v>27.4</v>
      </c>
      <c r="H1509" s="1" t="s">
        <v>0</v>
      </c>
      <c r="I1509">
        <v>0</v>
      </c>
      <c r="J1509" t="s">
        <v>6</v>
      </c>
      <c r="K1509">
        <v>23.5</v>
      </c>
      <c r="L1509">
        <v>29.5</v>
      </c>
      <c r="M1509">
        <f t="shared" si="95"/>
        <v>0</v>
      </c>
    </row>
    <row r="1510" spans="1:13" x14ac:dyDescent="0.2">
      <c r="A1510" s="9">
        <v>44248</v>
      </c>
      <c r="B1510">
        <f t="shared" si="92"/>
        <v>21</v>
      </c>
      <c r="C1510">
        <f t="shared" si="93"/>
        <v>2</v>
      </c>
      <c r="D1510">
        <f t="shared" si="94"/>
        <v>2021</v>
      </c>
      <c r="E1510" s="11">
        <v>3.1309999999999998</v>
      </c>
      <c r="F1510" s="11">
        <v>101.54900000000001</v>
      </c>
      <c r="G1510" s="11">
        <v>27.4</v>
      </c>
      <c r="H1510" s="1" t="s">
        <v>0</v>
      </c>
      <c r="I1510" t="s">
        <v>6</v>
      </c>
      <c r="J1510" t="s">
        <v>6</v>
      </c>
      <c r="K1510">
        <v>24</v>
      </c>
      <c r="L1510">
        <v>26.2</v>
      </c>
      <c r="M1510" t="str">
        <f t="shared" si="95"/>
        <v/>
      </c>
    </row>
    <row r="1511" spans="1:13" x14ac:dyDescent="0.2">
      <c r="A1511" s="9">
        <v>44249</v>
      </c>
      <c r="B1511">
        <f t="shared" si="92"/>
        <v>22</v>
      </c>
      <c r="C1511">
        <f t="shared" si="93"/>
        <v>2</v>
      </c>
      <c r="D1511">
        <f t="shared" si="94"/>
        <v>2021</v>
      </c>
      <c r="E1511" s="11">
        <v>3.1309999999999998</v>
      </c>
      <c r="F1511" s="11">
        <v>101.54900000000001</v>
      </c>
      <c r="G1511" s="11">
        <v>27.4</v>
      </c>
      <c r="H1511" s="1" t="s">
        <v>0</v>
      </c>
      <c r="I1511" t="s">
        <v>6</v>
      </c>
      <c r="J1511" t="s">
        <v>6</v>
      </c>
      <c r="K1511" t="s">
        <v>6</v>
      </c>
      <c r="L1511">
        <v>29.1</v>
      </c>
      <c r="M1511" t="str">
        <f t="shared" si="95"/>
        <v/>
      </c>
    </row>
    <row r="1512" spans="1:13" x14ac:dyDescent="0.2">
      <c r="A1512" s="9">
        <v>44250</v>
      </c>
      <c r="B1512">
        <f t="shared" si="92"/>
        <v>23</v>
      </c>
      <c r="C1512">
        <f t="shared" si="93"/>
        <v>2</v>
      </c>
      <c r="D1512">
        <f t="shared" si="94"/>
        <v>2021</v>
      </c>
      <c r="E1512" s="11">
        <v>3.1309999999999998</v>
      </c>
      <c r="F1512" s="11">
        <v>101.54900000000001</v>
      </c>
      <c r="G1512" s="11">
        <v>27.4</v>
      </c>
      <c r="H1512" s="1" t="s">
        <v>0</v>
      </c>
      <c r="I1512" t="s">
        <v>6</v>
      </c>
      <c r="J1512" t="s">
        <v>6</v>
      </c>
      <c r="K1512" t="s">
        <v>6</v>
      </c>
      <c r="L1512">
        <v>29.2</v>
      </c>
      <c r="M1512" t="str">
        <f t="shared" si="95"/>
        <v/>
      </c>
    </row>
    <row r="1513" spans="1:13" x14ac:dyDescent="0.2">
      <c r="A1513" s="9">
        <v>44251</v>
      </c>
      <c r="B1513">
        <f t="shared" si="92"/>
        <v>24</v>
      </c>
      <c r="C1513">
        <f t="shared" si="93"/>
        <v>2</v>
      </c>
      <c r="D1513">
        <f t="shared" si="94"/>
        <v>2021</v>
      </c>
      <c r="E1513" s="11">
        <v>3.1309999999999998</v>
      </c>
      <c r="F1513" s="11">
        <v>101.54900000000001</v>
      </c>
      <c r="G1513" s="11">
        <v>27.4</v>
      </c>
      <c r="H1513" s="1" t="s">
        <v>0</v>
      </c>
      <c r="I1513" t="s">
        <v>6</v>
      </c>
      <c r="J1513">
        <v>35.6</v>
      </c>
      <c r="K1513">
        <v>24.8</v>
      </c>
      <c r="L1513">
        <v>29.4</v>
      </c>
      <c r="M1513" t="str">
        <f t="shared" si="95"/>
        <v/>
      </c>
    </row>
    <row r="1514" spans="1:13" x14ac:dyDescent="0.2">
      <c r="A1514" s="9">
        <v>44252</v>
      </c>
      <c r="B1514">
        <f t="shared" si="92"/>
        <v>25</v>
      </c>
      <c r="C1514">
        <f t="shared" si="93"/>
        <v>2</v>
      </c>
      <c r="D1514">
        <f t="shared" si="94"/>
        <v>2021</v>
      </c>
      <c r="E1514" s="11">
        <v>3.1309999999999998</v>
      </c>
      <c r="F1514" s="11">
        <v>101.54900000000001</v>
      </c>
      <c r="G1514" s="11">
        <v>27.4</v>
      </c>
      <c r="H1514" s="1" t="s">
        <v>0</v>
      </c>
      <c r="I1514" t="s">
        <v>6</v>
      </c>
      <c r="J1514" t="s">
        <v>6</v>
      </c>
      <c r="K1514" t="s">
        <v>6</v>
      </c>
      <c r="L1514">
        <v>28.9</v>
      </c>
      <c r="M1514" t="str">
        <f t="shared" si="95"/>
        <v/>
      </c>
    </row>
    <row r="1515" spans="1:13" x14ac:dyDescent="0.2">
      <c r="A1515" s="9">
        <v>44253</v>
      </c>
      <c r="B1515">
        <f t="shared" si="92"/>
        <v>26</v>
      </c>
      <c r="C1515">
        <f t="shared" si="93"/>
        <v>2</v>
      </c>
      <c r="D1515">
        <f t="shared" si="94"/>
        <v>2021</v>
      </c>
      <c r="E1515" s="11">
        <v>3.1309999999999998</v>
      </c>
      <c r="F1515" s="11">
        <v>101.54900000000001</v>
      </c>
      <c r="G1515" s="11">
        <v>27.4</v>
      </c>
      <c r="H1515" s="1" t="s">
        <v>0</v>
      </c>
      <c r="I1515">
        <v>0</v>
      </c>
      <c r="J1515">
        <v>36</v>
      </c>
      <c r="K1515">
        <v>23</v>
      </c>
      <c r="L1515">
        <v>29.2</v>
      </c>
      <c r="M1515">
        <f t="shared" si="95"/>
        <v>0</v>
      </c>
    </row>
    <row r="1516" spans="1:13" x14ac:dyDescent="0.2">
      <c r="A1516" s="9">
        <v>44254</v>
      </c>
      <c r="B1516">
        <f t="shared" si="92"/>
        <v>27</v>
      </c>
      <c r="C1516">
        <f t="shared" si="93"/>
        <v>2</v>
      </c>
      <c r="D1516">
        <f t="shared" si="94"/>
        <v>2021</v>
      </c>
      <c r="E1516" s="11">
        <v>3.1309999999999998</v>
      </c>
      <c r="F1516" s="11">
        <v>101.54900000000001</v>
      </c>
      <c r="G1516" s="11">
        <v>27.4</v>
      </c>
      <c r="H1516" s="1" t="s">
        <v>0</v>
      </c>
      <c r="I1516" t="s">
        <v>6</v>
      </c>
      <c r="J1516" t="s">
        <v>6</v>
      </c>
      <c r="K1516">
        <v>23.5</v>
      </c>
      <c r="L1516">
        <v>29.3</v>
      </c>
      <c r="M1516" t="str">
        <f t="shared" si="95"/>
        <v/>
      </c>
    </row>
    <row r="1517" spans="1:13" x14ac:dyDescent="0.2">
      <c r="A1517" s="9">
        <v>44255</v>
      </c>
      <c r="B1517">
        <f t="shared" si="92"/>
        <v>28</v>
      </c>
      <c r="C1517">
        <f t="shared" si="93"/>
        <v>2</v>
      </c>
      <c r="D1517">
        <f t="shared" si="94"/>
        <v>2021</v>
      </c>
      <c r="E1517" s="11">
        <v>3.1309999999999998</v>
      </c>
      <c r="F1517" s="11">
        <v>101.54900000000001</v>
      </c>
      <c r="G1517" s="11">
        <v>27.4</v>
      </c>
      <c r="H1517" s="1" t="s">
        <v>0</v>
      </c>
      <c r="I1517" t="s">
        <v>6</v>
      </c>
      <c r="J1517" t="s">
        <v>6</v>
      </c>
      <c r="K1517" t="s">
        <v>6</v>
      </c>
      <c r="L1517">
        <v>28.6</v>
      </c>
      <c r="M1517" t="str">
        <f t="shared" si="95"/>
        <v/>
      </c>
    </row>
    <row r="1518" spans="1:13" x14ac:dyDescent="0.2">
      <c r="A1518" s="9">
        <v>44256</v>
      </c>
      <c r="B1518">
        <f t="shared" si="92"/>
        <v>1</v>
      </c>
      <c r="C1518">
        <f t="shared" si="93"/>
        <v>3</v>
      </c>
      <c r="D1518">
        <f t="shared" si="94"/>
        <v>2021</v>
      </c>
      <c r="E1518" s="11">
        <v>3.1309999999999998</v>
      </c>
      <c r="F1518" s="11">
        <v>101.54900000000001</v>
      </c>
      <c r="G1518" s="11">
        <v>27.4</v>
      </c>
      <c r="H1518" s="1" t="s">
        <v>0</v>
      </c>
      <c r="I1518" t="s">
        <v>6</v>
      </c>
      <c r="J1518" t="s">
        <v>6</v>
      </c>
      <c r="K1518">
        <v>24.2</v>
      </c>
      <c r="L1518">
        <v>29</v>
      </c>
      <c r="M1518" t="str">
        <f t="shared" si="95"/>
        <v/>
      </c>
    </row>
    <row r="1519" spans="1:13" x14ac:dyDescent="0.2">
      <c r="A1519" s="9">
        <v>44257</v>
      </c>
      <c r="B1519">
        <f t="shared" si="92"/>
        <v>2</v>
      </c>
      <c r="C1519">
        <f t="shared" si="93"/>
        <v>3</v>
      </c>
      <c r="D1519">
        <f t="shared" si="94"/>
        <v>2021</v>
      </c>
      <c r="E1519" s="11">
        <v>3.1309999999999998</v>
      </c>
      <c r="F1519" s="11">
        <v>101.54900000000001</v>
      </c>
      <c r="G1519" s="11">
        <v>27.4</v>
      </c>
      <c r="H1519" s="1" t="s">
        <v>0</v>
      </c>
      <c r="I1519" t="s">
        <v>6</v>
      </c>
      <c r="J1519" t="s">
        <v>6</v>
      </c>
      <c r="K1519" t="s">
        <v>6</v>
      </c>
      <c r="L1519">
        <v>27.4</v>
      </c>
      <c r="M1519" t="str">
        <f t="shared" si="95"/>
        <v/>
      </c>
    </row>
    <row r="1520" spans="1:13" x14ac:dyDescent="0.2">
      <c r="A1520" s="9">
        <v>44258</v>
      </c>
      <c r="B1520">
        <f t="shared" si="92"/>
        <v>3</v>
      </c>
      <c r="C1520">
        <f t="shared" si="93"/>
        <v>3</v>
      </c>
      <c r="D1520">
        <f t="shared" si="94"/>
        <v>2021</v>
      </c>
      <c r="E1520" s="11">
        <v>3.1309999999999998</v>
      </c>
      <c r="F1520" s="11">
        <v>101.54900000000001</v>
      </c>
      <c r="G1520" s="11">
        <v>27.4</v>
      </c>
      <c r="H1520" s="1" t="s">
        <v>0</v>
      </c>
      <c r="I1520" t="s">
        <v>6</v>
      </c>
      <c r="J1520" t="s">
        <v>6</v>
      </c>
      <c r="K1520" t="s">
        <v>6</v>
      </c>
      <c r="L1520">
        <v>27.8</v>
      </c>
      <c r="M1520" t="str">
        <f t="shared" si="95"/>
        <v/>
      </c>
    </row>
    <row r="1521" spans="1:13" x14ac:dyDescent="0.2">
      <c r="A1521" s="9">
        <v>44259</v>
      </c>
      <c r="B1521">
        <f t="shared" si="92"/>
        <v>4</v>
      </c>
      <c r="C1521">
        <f t="shared" si="93"/>
        <v>3</v>
      </c>
      <c r="D1521">
        <f t="shared" si="94"/>
        <v>2021</v>
      </c>
      <c r="E1521" s="11">
        <v>3.1309999999999998</v>
      </c>
      <c r="F1521" s="11">
        <v>101.54900000000001</v>
      </c>
      <c r="G1521" s="11">
        <v>27.4</v>
      </c>
      <c r="H1521" s="1" t="s">
        <v>0</v>
      </c>
      <c r="I1521" t="s">
        <v>6</v>
      </c>
      <c r="J1521" t="s">
        <v>6</v>
      </c>
      <c r="K1521">
        <v>24.3</v>
      </c>
      <c r="L1521">
        <v>29.4</v>
      </c>
      <c r="M1521" t="str">
        <f t="shared" si="95"/>
        <v/>
      </c>
    </row>
    <row r="1522" spans="1:13" x14ac:dyDescent="0.2">
      <c r="A1522" s="9">
        <v>44260</v>
      </c>
      <c r="B1522">
        <f t="shared" si="92"/>
        <v>5</v>
      </c>
      <c r="C1522">
        <f t="shared" si="93"/>
        <v>3</v>
      </c>
      <c r="D1522">
        <f t="shared" si="94"/>
        <v>2021</v>
      </c>
      <c r="E1522" s="11">
        <v>3.1309999999999998</v>
      </c>
      <c r="F1522" s="11">
        <v>101.54900000000001</v>
      </c>
      <c r="G1522" s="11">
        <v>27.4</v>
      </c>
      <c r="H1522" s="1" t="s">
        <v>0</v>
      </c>
      <c r="I1522">
        <v>0</v>
      </c>
      <c r="J1522" t="s">
        <v>6</v>
      </c>
      <c r="K1522">
        <v>24.7</v>
      </c>
      <c r="L1522">
        <v>29.7</v>
      </c>
      <c r="M1522">
        <f t="shared" si="95"/>
        <v>0</v>
      </c>
    </row>
    <row r="1523" spans="1:13" x14ac:dyDescent="0.2">
      <c r="A1523" s="9">
        <v>44261</v>
      </c>
      <c r="B1523">
        <f t="shared" si="92"/>
        <v>6</v>
      </c>
      <c r="C1523">
        <f t="shared" si="93"/>
        <v>3</v>
      </c>
      <c r="D1523">
        <f t="shared" si="94"/>
        <v>2021</v>
      </c>
      <c r="E1523" s="11">
        <v>3.1309999999999998</v>
      </c>
      <c r="F1523" s="11">
        <v>101.54900000000001</v>
      </c>
      <c r="G1523" s="11">
        <v>27.4</v>
      </c>
      <c r="H1523" s="1" t="s">
        <v>0</v>
      </c>
      <c r="I1523">
        <v>2.5</v>
      </c>
      <c r="J1523">
        <v>35.200000000000003</v>
      </c>
      <c r="K1523" t="s">
        <v>6</v>
      </c>
      <c r="L1523">
        <v>27.8</v>
      </c>
      <c r="M1523">
        <f t="shared" si="95"/>
        <v>1</v>
      </c>
    </row>
    <row r="1524" spans="1:13" x14ac:dyDescent="0.2">
      <c r="A1524" s="9">
        <v>44262</v>
      </c>
      <c r="B1524">
        <f t="shared" si="92"/>
        <v>7</v>
      </c>
      <c r="C1524">
        <f t="shared" si="93"/>
        <v>3</v>
      </c>
      <c r="D1524">
        <f t="shared" si="94"/>
        <v>2021</v>
      </c>
      <c r="E1524" s="11">
        <v>3.1309999999999998</v>
      </c>
      <c r="F1524" s="11">
        <v>101.54900000000001</v>
      </c>
      <c r="G1524" s="11">
        <v>27.4</v>
      </c>
      <c r="H1524" s="1" t="s">
        <v>0</v>
      </c>
      <c r="I1524">
        <v>28.7</v>
      </c>
      <c r="J1524" t="s">
        <v>6</v>
      </c>
      <c r="K1524">
        <v>23.7</v>
      </c>
      <c r="L1524">
        <v>25.8</v>
      </c>
      <c r="M1524">
        <f t="shared" si="95"/>
        <v>1</v>
      </c>
    </row>
    <row r="1525" spans="1:13" x14ac:dyDescent="0.2">
      <c r="A1525" s="9">
        <v>44263</v>
      </c>
      <c r="B1525">
        <f t="shared" si="92"/>
        <v>8</v>
      </c>
      <c r="C1525">
        <f t="shared" si="93"/>
        <v>3</v>
      </c>
      <c r="D1525">
        <f t="shared" si="94"/>
        <v>2021</v>
      </c>
      <c r="E1525" s="11">
        <v>3.1309999999999998</v>
      </c>
      <c r="F1525" s="11">
        <v>101.54900000000001</v>
      </c>
      <c r="G1525" s="11">
        <v>27.4</v>
      </c>
      <c r="H1525" s="1" t="s">
        <v>0</v>
      </c>
      <c r="I1525">
        <v>7.1</v>
      </c>
      <c r="J1525" t="s">
        <v>6</v>
      </c>
      <c r="K1525">
        <v>23.4</v>
      </c>
      <c r="L1525">
        <v>28.8</v>
      </c>
      <c r="M1525">
        <f t="shared" si="95"/>
        <v>1</v>
      </c>
    </row>
    <row r="1526" spans="1:13" x14ac:dyDescent="0.2">
      <c r="A1526" s="9">
        <v>44264</v>
      </c>
      <c r="B1526">
        <f t="shared" si="92"/>
        <v>9</v>
      </c>
      <c r="C1526">
        <f t="shared" si="93"/>
        <v>3</v>
      </c>
      <c r="D1526">
        <f t="shared" si="94"/>
        <v>2021</v>
      </c>
      <c r="E1526" s="11">
        <v>3.1309999999999998</v>
      </c>
      <c r="F1526" s="11">
        <v>101.54900000000001</v>
      </c>
      <c r="G1526" s="11">
        <v>27.4</v>
      </c>
      <c r="H1526" s="1" t="s">
        <v>0</v>
      </c>
      <c r="I1526">
        <v>0</v>
      </c>
      <c r="J1526" t="s">
        <v>6</v>
      </c>
      <c r="K1526">
        <v>24</v>
      </c>
      <c r="L1526">
        <v>29.4</v>
      </c>
      <c r="M1526">
        <f t="shared" si="95"/>
        <v>0</v>
      </c>
    </row>
    <row r="1527" spans="1:13" x14ac:dyDescent="0.2">
      <c r="A1527" s="9">
        <v>44265</v>
      </c>
      <c r="B1527">
        <f t="shared" si="92"/>
        <v>10</v>
      </c>
      <c r="C1527">
        <f t="shared" si="93"/>
        <v>3</v>
      </c>
      <c r="D1527">
        <f t="shared" si="94"/>
        <v>2021</v>
      </c>
      <c r="E1527" s="11">
        <v>3.1309999999999998</v>
      </c>
      <c r="F1527" s="11">
        <v>101.54900000000001</v>
      </c>
      <c r="G1527" s="11">
        <v>27.4</v>
      </c>
      <c r="H1527" s="1" t="s">
        <v>0</v>
      </c>
      <c r="I1527" t="s">
        <v>6</v>
      </c>
      <c r="J1527" t="s">
        <v>6</v>
      </c>
      <c r="K1527">
        <v>24.7</v>
      </c>
      <c r="L1527">
        <v>29.8</v>
      </c>
      <c r="M1527" t="str">
        <f t="shared" si="95"/>
        <v/>
      </c>
    </row>
    <row r="1528" spans="1:13" x14ac:dyDescent="0.2">
      <c r="A1528" s="9">
        <v>44266</v>
      </c>
      <c r="B1528">
        <f t="shared" si="92"/>
        <v>11</v>
      </c>
      <c r="C1528">
        <f t="shared" si="93"/>
        <v>3</v>
      </c>
      <c r="D1528">
        <f t="shared" si="94"/>
        <v>2021</v>
      </c>
      <c r="E1528" s="11">
        <v>3.1309999999999998</v>
      </c>
      <c r="F1528" s="11">
        <v>101.54900000000001</v>
      </c>
      <c r="G1528" s="11">
        <v>27.4</v>
      </c>
      <c r="H1528" s="1" t="s">
        <v>0</v>
      </c>
      <c r="I1528">
        <v>0</v>
      </c>
      <c r="J1528" t="s">
        <v>6</v>
      </c>
      <c r="K1528" t="s">
        <v>6</v>
      </c>
      <c r="L1528">
        <v>27.9</v>
      </c>
      <c r="M1528">
        <f t="shared" si="95"/>
        <v>0</v>
      </c>
    </row>
    <row r="1529" spans="1:13" x14ac:dyDescent="0.2">
      <c r="A1529" s="9">
        <v>44267</v>
      </c>
      <c r="B1529">
        <f t="shared" si="92"/>
        <v>12</v>
      </c>
      <c r="C1529">
        <f t="shared" si="93"/>
        <v>3</v>
      </c>
      <c r="D1529">
        <f t="shared" si="94"/>
        <v>2021</v>
      </c>
      <c r="E1529" s="11">
        <v>3.1309999999999998</v>
      </c>
      <c r="F1529" s="11">
        <v>101.54900000000001</v>
      </c>
      <c r="G1529" s="11">
        <v>27.4</v>
      </c>
      <c r="H1529" s="1" t="s">
        <v>0</v>
      </c>
      <c r="I1529">
        <v>15.7</v>
      </c>
      <c r="J1529" t="s">
        <v>6</v>
      </c>
      <c r="K1529">
        <v>24</v>
      </c>
      <c r="L1529">
        <v>26.4</v>
      </c>
      <c r="M1529">
        <f t="shared" si="95"/>
        <v>1</v>
      </c>
    </row>
    <row r="1530" spans="1:13" x14ac:dyDescent="0.2">
      <c r="A1530" s="9">
        <v>44268</v>
      </c>
      <c r="B1530">
        <f t="shared" si="92"/>
        <v>13</v>
      </c>
      <c r="C1530">
        <f t="shared" si="93"/>
        <v>3</v>
      </c>
      <c r="D1530">
        <f t="shared" si="94"/>
        <v>2021</v>
      </c>
      <c r="E1530" s="11">
        <v>3.1309999999999998</v>
      </c>
      <c r="F1530" s="11">
        <v>101.54900000000001</v>
      </c>
      <c r="G1530" s="11">
        <v>27.4</v>
      </c>
      <c r="H1530" s="1" t="s">
        <v>0</v>
      </c>
      <c r="I1530">
        <v>7.6</v>
      </c>
      <c r="J1530" t="s">
        <v>6</v>
      </c>
      <c r="K1530">
        <v>23.9</v>
      </c>
      <c r="L1530">
        <v>27.2</v>
      </c>
      <c r="M1530">
        <f t="shared" si="95"/>
        <v>1</v>
      </c>
    </row>
    <row r="1531" spans="1:13" x14ac:dyDescent="0.2">
      <c r="A1531" s="9">
        <v>44269</v>
      </c>
      <c r="B1531">
        <f t="shared" si="92"/>
        <v>14</v>
      </c>
      <c r="C1531">
        <f t="shared" si="93"/>
        <v>3</v>
      </c>
      <c r="D1531">
        <f t="shared" si="94"/>
        <v>2021</v>
      </c>
      <c r="E1531" s="11">
        <v>3.1309999999999998</v>
      </c>
      <c r="F1531" s="11">
        <v>101.54900000000001</v>
      </c>
      <c r="G1531" s="11">
        <v>27.4</v>
      </c>
      <c r="H1531" s="1" t="s">
        <v>0</v>
      </c>
      <c r="I1531">
        <v>41.9</v>
      </c>
      <c r="J1531">
        <v>33.1</v>
      </c>
      <c r="K1531">
        <v>23.9</v>
      </c>
      <c r="L1531">
        <v>28.1</v>
      </c>
      <c r="M1531">
        <f t="shared" si="95"/>
        <v>1</v>
      </c>
    </row>
    <row r="1532" spans="1:13" x14ac:dyDescent="0.2">
      <c r="A1532" s="9">
        <v>44270</v>
      </c>
      <c r="B1532">
        <f t="shared" si="92"/>
        <v>15</v>
      </c>
      <c r="C1532">
        <f t="shared" si="93"/>
        <v>3</v>
      </c>
      <c r="D1532">
        <f t="shared" si="94"/>
        <v>2021</v>
      </c>
      <c r="E1532" s="11">
        <v>3.1309999999999998</v>
      </c>
      <c r="F1532" s="11">
        <v>101.54900000000001</v>
      </c>
      <c r="G1532" s="11">
        <v>27.4</v>
      </c>
      <c r="H1532" s="1" t="s">
        <v>0</v>
      </c>
      <c r="I1532">
        <v>0</v>
      </c>
      <c r="J1532" t="s">
        <v>6</v>
      </c>
      <c r="K1532">
        <v>25.5</v>
      </c>
      <c r="L1532">
        <v>28.8</v>
      </c>
      <c r="M1532">
        <f t="shared" si="95"/>
        <v>0</v>
      </c>
    </row>
    <row r="1533" spans="1:13" x14ac:dyDescent="0.2">
      <c r="A1533" s="9">
        <v>44271</v>
      </c>
      <c r="B1533">
        <f t="shared" si="92"/>
        <v>16</v>
      </c>
      <c r="C1533">
        <f t="shared" si="93"/>
        <v>3</v>
      </c>
      <c r="D1533">
        <f t="shared" si="94"/>
        <v>2021</v>
      </c>
      <c r="E1533" s="11">
        <v>3.1309999999999998</v>
      </c>
      <c r="F1533" s="11">
        <v>101.54900000000001</v>
      </c>
      <c r="G1533" s="11">
        <v>27.4</v>
      </c>
      <c r="H1533" s="1" t="s">
        <v>0</v>
      </c>
      <c r="I1533">
        <v>4.0999999999999996</v>
      </c>
      <c r="J1533" t="s">
        <v>6</v>
      </c>
      <c r="K1533" t="s">
        <v>6</v>
      </c>
      <c r="L1533">
        <v>26.9</v>
      </c>
      <c r="M1533">
        <f t="shared" si="95"/>
        <v>1</v>
      </c>
    </row>
    <row r="1534" spans="1:13" x14ac:dyDescent="0.2">
      <c r="A1534" s="9">
        <v>44272</v>
      </c>
      <c r="B1534">
        <f t="shared" si="92"/>
        <v>17</v>
      </c>
      <c r="C1534">
        <f t="shared" si="93"/>
        <v>3</v>
      </c>
      <c r="D1534">
        <f t="shared" si="94"/>
        <v>2021</v>
      </c>
      <c r="E1534" s="11">
        <v>3.1309999999999998</v>
      </c>
      <c r="F1534" s="11">
        <v>101.54900000000001</v>
      </c>
      <c r="G1534" s="11">
        <v>27.4</v>
      </c>
      <c r="H1534" s="1" t="s">
        <v>0</v>
      </c>
      <c r="I1534">
        <v>15.2</v>
      </c>
      <c r="J1534" t="s">
        <v>6</v>
      </c>
      <c r="K1534" t="s">
        <v>6</v>
      </c>
      <c r="L1534">
        <v>27.2</v>
      </c>
      <c r="M1534">
        <f t="shared" si="95"/>
        <v>1</v>
      </c>
    </row>
    <row r="1535" spans="1:13" x14ac:dyDescent="0.2">
      <c r="A1535" s="9">
        <v>44273</v>
      </c>
      <c r="B1535">
        <f t="shared" si="92"/>
        <v>18</v>
      </c>
      <c r="C1535">
        <f t="shared" si="93"/>
        <v>3</v>
      </c>
      <c r="D1535">
        <f t="shared" si="94"/>
        <v>2021</v>
      </c>
      <c r="E1535" s="11">
        <v>3.1309999999999998</v>
      </c>
      <c r="F1535" s="11">
        <v>101.54900000000001</v>
      </c>
      <c r="G1535" s="11">
        <v>27.4</v>
      </c>
      <c r="H1535" s="1" t="s">
        <v>0</v>
      </c>
      <c r="I1535">
        <v>1.8</v>
      </c>
      <c r="J1535" t="s">
        <v>6</v>
      </c>
      <c r="K1535">
        <v>24.6</v>
      </c>
      <c r="L1535">
        <v>27.8</v>
      </c>
      <c r="M1535">
        <f t="shared" si="95"/>
        <v>1</v>
      </c>
    </row>
    <row r="1536" spans="1:13" x14ac:dyDescent="0.2">
      <c r="A1536" s="9">
        <v>44274</v>
      </c>
      <c r="B1536">
        <f t="shared" si="92"/>
        <v>19</v>
      </c>
      <c r="C1536">
        <f t="shared" si="93"/>
        <v>3</v>
      </c>
      <c r="D1536">
        <f t="shared" si="94"/>
        <v>2021</v>
      </c>
      <c r="E1536" s="11">
        <v>3.1309999999999998</v>
      </c>
      <c r="F1536" s="11">
        <v>101.54900000000001</v>
      </c>
      <c r="G1536" s="11">
        <v>27.4</v>
      </c>
      <c r="H1536" s="1" t="s">
        <v>0</v>
      </c>
      <c r="I1536">
        <v>1</v>
      </c>
      <c r="J1536" t="s">
        <v>6</v>
      </c>
      <c r="K1536" t="s">
        <v>6</v>
      </c>
      <c r="L1536">
        <v>26.9</v>
      </c>
      <c r="M1536">
        <f t="shared" si="95"/>
        <v>1</v>
      </c>
    </row>
    <row r="1537" spans="1:13" x14ac:dyDescent="0.2">
      <c r="A1537" s="9">
        <v>44275</v>
      </c>
      <c r="B1537">
        <f t="shared" si="92"/>
        <v>20</v>
      </c>
      <c r="C1537">
        <f t="shared" si="93"/>
        <v>3</v>
      </c>
      <c r="D1537">
        <f t="shared" si="94"/>
        <v>2021</v>
      </c>
      <c r="E1537" s="11">
        <v>3.1309999999999998</v>
      </c>
      <c r="F1537" s="11">
        <v>101.54900000000001</v>
      </c>
      <c r="G1537" s="11">
        <v>27.4</v>
      </c>
      <c r="H1537" s="1" t="s">
        <v>0</v>
      </c>
      <c r="I1537">
        <v>15</v>
      </c>
      <c r="J1537" t="s">
        <v>6</v>
      </c>
      <c r="K1537">
        <v>24</v>
      </c>
      <c r="L1537">
        <v>27</v>
      </c>
      <c r="M1537">
        <f t="shared" si="95"/>
        <v>1</v>
      </c>
    </row>
    <row r="1538" spans="1:13" x14ac:dyDescent="0.2">
      <c r="A1538" s="9">
        <v>44276</v>
      </c>
      <c r="B1538">
        <f t="shared" si="92"/>
        <v>21</v>
      </c>
      <c r="C1538">
        <f t="shared" si="93"/>
        <v>3</v>
      </c>
      <c r="D1538">
        <f t="shared" si="94"/>
        <v>2021</v>
      </c>
      <c r="E1538" s="11">
        <v>3.1309999999999998</v>
      </c>
      <c r="F1538" s="11">
        <v>101.54900000000001</v>
      </c>
      <c r="G1538" s="11">
        <v>27.4</v>
      </c>
      <c r="H1538" s="1" t="s">
        <v>0</v>
      </c>
      <c r="I1538">
        <v>32.5</v>
      </c>
      <c r="J1538" t="s">
        <v>6</v>
      </c>
      <c r="K1538">
        <v>25.5</v>
      </c>
      <c r="L1538">
        <v>28.1</v>
      </c>
      <c r="M1538">
        <f t="shared" si="95"/>
        <v>1</v>
      </c>
    </row>
    <row r="1539" spans="1:13" x14ac:dyDescent="0.2">
      <c r="A1539" s="9">
        <v>44277</v>
      </c>
      <c r="B1539">
        <f t="shared" ref="B1539:B1602" si="96">DAY(A1539)</f>
        <v>22</v>
      </c>
      <c r="C1539">
        <f t="shared" ref="C1539:C1602" si="97">MONTH(A1539)</f>
        <v>3</v>
      </c>
      <c r="D1539">
        <f t="shared" ref="D1539:D1602" si="98">YEAR(A1539)</f>
        <v>2021</v>
      </c>
      <c r="E1539" s="11">
        <v>3.1309999999999998</v>
      </c>
      <c r="F1539" s="11">
        <v>101.54900000000001</v>
      </c>
      <c r="G1539" s="11">
        <v>27.4</v>
      </c>
      <c r="H1539" s="1" t="s">
        <v>0</v>
      </c>
      <c r="I1539">
        <v>0</v>
      </c>
      <c r="J1539" t="s">
        <v>6</v>
      </c>
      <c r="K1539">
        <v>25.7</v>
      </c>
      <c r="L1539">
        <v>29.2</v>
      </c>
      <c r="M1539">
        <f t="shared" ref="M1539:M1602" si="99">IF(ISNUMBER(I1539), IF(I1539&gt;0, 1, 0), "")</f>
        <v>0</v>
      </c>
    </row>
    <row r="1540" spans="1:13" x14ac:dyDescent="0.2">
      <c r="A1540" s="9">
        <v>44278</v>
      </c>
      <c r="B1540">
        <f t="shared" si="96"/>
        <v>23</v>
      </c>
      <c r="C1540">
        <f t="shared" si="97"/>
        <v>3</v>
      </c>
      <c r="D1540">
        <f t="shared" si="98"/>
        <v>2021</v>
      </c>
      <c r="E1540" s="11">
        <v>3.1309999999999998</v>
      </c>
      <c r="F1540" s="11">
        <v>101.54900000000001</v>
      </c>
      <c r="G1540" s="11">
        <v>27.4</v>
      </c>
      <c r="H1540" s="1" t="s">
        <v>0</v>
      </c>
      <c r="I1540">
        <v>0</v>
      </c>
      <c r="J1540" t="s">
        <v>6</v>
      </c>
      <c r="K1540" t="s">
        <v>6</v>
      </c>
      <c r="L1540">
        <v>27.7</v>
      </c>
      <c r="M1540">
        <f t="shared" si="99"/>
        <v>0</v>
      </c>
    </row>
    <row r="1541" spans="1:13" x14ac:dyDescent="0.2">
      <c r="A1541" s="9">
        <v>44279</v>
      </c>
      <c r="B1541">
        <f t="shared" si="96"/>
        <v>24</v>
      </c>
      <c r="C1541">
        <f t="shared" si="97"/>
        <v>3</v>
      </c>
      <c r="D1541">
        <f t="shared" si="98"/>
        <v>2021</v>
      </c>
      <c r="E1541" s="11">
        <v>3.1309999999999998</v>
      </c>
      <c r="F1541" s="11">
        <v>101.54900000000001</v>
      </c>
      <c r="G1541" s="11">
        <v>27.4</v>
      </c>
      <c r="H1541" s="1" t="s">
        <v>0</v>
      </c>
      <c r="I1541">
        <v>2.5</v>
      </c>
      <c r="J1541" t="s">
        <v>6</v>
      </c>
      <c r="K1541">
        <v>24.9</v>
      </c>
      <c r="L1541">
        <v>27.3</v>
      </c>
      <c r="M1541">
        <f t="shared" si="99"/>
        <v>1</v>
      </c>
    </row>
    <row r="1542" spans="1:13" x14ac:dyDescent="0.2">
      <c r="A1542" s="9">
        <v>44280</v>
      </c>
      <c r="B1542">
        <f t="shared" si="96"/>
        <v>25</v>
      </c>
      <c r="C1542">
        <f t="shared" si="97"/>
        <v>3</v>
      </c>
      <c r="D1542">
        <f t="shared" si="98"/>
        <v>2021</v>
      </c>
      <c r="E1542" s="11">
        <v>3.1309999999999998</v>
      </c>
      <c r="F1542" s="11">
        <v>101.54900000000001</v>
      </c>
      <c r="G1542" s="11">
        <v>27.4</v>
      </c>
      <c r="H1542" s="1" t="s">
        <v>0</v>
      </c>
      <c r="I1542">
        <v>0.5</v>
      </c>
      <c r="J1542" t="s">
        <v>6</v>
      </c>
      <c r="K1542">
        <v>25</v>
      </c>
      <c r="L1542">
        <v>27.1</v>
      </c>
      <c r="M1542">
        <f t="shared" si="99"/>
        <v>1</v>
      </c>
    </row>
    <row r="1543" spans="1:13" x14ac:dyDescent="0.2">
      <c r="A1543" s="9">
        <v>44281</v>
      </c>
      <c r="B1543">
        <f t="shared" si="96"/>
        <v>26</v>
      </c>
      <c r="C1543">
        <f t="shared" si="97"/>
        <v>3</v>
      </c>
      <c r="D1543">
        <f t="shared" si="98"/>
        <v>2021</v>
      </c>
      <c r="E1543" s="11">
        <v>3.1309999999999998</v>
      </c>
      <c r="F1543" s="11">
        <v>101.54900000000001</v>
      </c>
      <c r="G1543" s="11">
        <v>27.4</v>
      </c>
      <c r="H1543" s="1" t="s">
        <v>0</v>
      </c>
      <c r="I1543">
        <v>1.5</v>
      </c>
      <c r="J1543" t="s">
        <v>6</v>
      </c>
      <c r="K1543" t="s">
        <v>6</v>
      </c>
      <c r="L1543">
        <v>27.7</v>
      </c>
      <c r="M1543">
        <f t="shared" si="99"/>
        <v>1</v>
      </c>
    </row>
    <row r="1544" spans="1:13" x14ac:dyDescent="0.2">
      <c r="A1544" s="9">
        <v>44282</v>
      </c>
      <c r="B1544">
        <f t="shared" si="96"/>
        <v>27</v>
      </c>
      <c r="C1544">
        <f t="shared" si="97"/>
        <v>3</v>
      </c>
      <c r="D1544">
        <f t="shared" si="98"/>
        <v>2021</v>
      </c>
      <c r="E1544" s="11">
        <v>3.1309999999999998</v>
      </c>
      <c r="F1544" s="11">
        <v>101.54900000000001</v>
      </c>
      <c r="G1544" s="11">
        <v>27.4</v>
      </c>
      <c r="H1544" s="1" t="s">
        <v>0</v>
      </c>
      <c r="I1544">
        <v>34.299999999999997</v>
      </c>
      <c r="J1544" t="s">
        <v>6</v>
      </c>
      <c r="K1544" t="s">
        <v>6</v>
      </c>
      <c r="L1544">
        <v>26.4</v>
      </c>
      <c r="M1544">
        <f t="shared" si="99"/>
        <v>1</v>
      </c>
    </row>
    <row r="1545" spans="1:13" x14ac:dyDescent="0.2">
      <c r="A1545" s="9">
        <v>44283</v>
      </c>
      <c r="B1545">
        <f t="shared" si="96"/>
        <v>28</v>
      </c>
      <c r="C1545">
        <f t="shared" si="97"/>
        <v>3</v>
      </c>
      <c r="D1545">
        <f t="shared" si="98"/>
        <v>2021</v>
      </c>
      <c r="E1545" s="11">
        <v>3.1309999999999998</v>
      </c>
      <c r="F1545" s="11">
        <v>101.54900000000001</v>
      </c>
      <c r="G1545" s="11">
        <v>27.4</v>
      </c>
      <c r="H1545" s="1" t="s">
        <v>0</v>
      </c>
      <c r="I1545">
        <v>136.9</v>
      </c>
      <c r="J1545" t="s">
        <v>6</v>
      </c>
      <c r="K1545">
        <v>23.2</v>
      </c>
      <c r="L1545">
        <v>29</v>
      </c>
      <c r="M1545">
        <f t="shared" si="99"/>
        <v>1</v>
      </c>
    </row>
    <row r="1546" spans="1:13" x14ac:dyDescent="0.2">
      <c r="A1546" s="9">
        <v>44284</v>
      </c>
      <c r="B1546">
        <f t="shared" si="96"/>
        <v>29</v>
      </c>
      <c r="C1546">
        <f t="shared" si="97"/>
        <v>3</v>
      </c>
      <c r="D1546">
        <f t="shared" si="98"/>
        <v>2021</v>
      </c>
      <c r="E1546" s="11">
        <v>3.1309999999999998</v>
      </c>
      <c r="F1546" s="11">
        <v>101.54900000000001</v>
      </c>
      <c r="G1546" s="11">
        <v>27.4</v>
      </c>
      <c r="H1546" s="1" t="s">
        <v>0</v>
      </c>
      <c r="I1546">
        <v>10.9</v>
      </c>
      <c r="J1546">
        <v>31.6</v>
      </c>
      <c r="K1546">
        <v>24.1</v>
      </c>
      <c r="L1546">
        <v>26.9</v>
      </c>
      <c r="M1546">
        <f t="shared" si="99"/>
        <v>1</v>
      </c>
    </row>
    <row r="1547" spans="1:13" x14ac:dyDescent="0.2">
      <c r="A1547" s="9">
        <v>44285</v>
      </c>
      <c r="B1547">
        <f t="shared" si="96"/>
        <v>30</v>
      </c>
      <c r="C1547">
        <f t="shared" si="97"/>
        <v>3</v>
      </c>
      <c r="D1547">
        <f t="shared" si="98"/>
        <v>2021</v>
      </c>
      <c r="E1547" s="11">
        <v>3.1309999999999998</v>
      </c>
      <c r="F1547" s="11">
        <v>101.54900000000001</v>
      </c>
      <c r="G1547" s="11">
        <v>27.4</v>
      </c>
      <c r="H1547" s="1" t="s">
        <v>0</v>
      </c>
      <c r="I1547">
        <v>10.9</v>
      </c>
      <c r="J1547" t="s">
        <v>6</v>
      </c>
      <c r="K1547">
        <v>24.7</v>
      </c>
      <c r="L1547">
        <v>29.8</v>
      </c>
      <c r="M1547">
        <f t="shared" si="99"/>
        <v>1</v>
      </c>
    </row>
    <row r="1548" spans="1:13" x14ac:dyDescent="0.2">
      <c r="A1548" s="9">
        <v>44286</v>
      </c>
      <c r="B1548">
        <f t="shared" si="96"/>
        <v>31</v>
      </c>
      <c r="C1548">
        <f t="shared" si="97"/>
        <v>3</v>
      </c>
      <c r="D1548">
        <f t="shared" si="98"/>
        <v>2021</v>
      </c>
      <c r="E1548" s="11">
        <v>3.1309999999999998</v>
      </c>
      <c r="F1548" s="11">
        <v>101.54900000000001</v>
      </c>
      <c r="G1548" s="11">
        <v>27.4</v>
      </c>
      <c r="H1548" s="1" t="s">
        <v>0</v>
      </c>
      <c r="I1548">
        <v>0</v>
      </c>
      <c r="J1548" t="s">
        <v>6</v>
      </c>
      <c r="K1548">
        <v>25.4</v>
      </c>
      <c r="L1548">
        <v>29.8</v>
      </c>
      <c r="M1548">
        <f t="shared" si="99"/>
        <v>0</v>
      </c>
    </row>
    <row r="1549" spans="1:13" x14ac:dyDescent="0.2">
      <c r="A1549" s="9">
        <v>44287</v>
      </c>
      <c r="B1549">
        <f t="shared" si="96"/>
        <v>1</v>
      </c>
      <c r="C1549">
        <f t="shared" si="97"/>
        <v>4</v>
      </c>
      <c r="D1549">
        <f t="shared" si="98"/>
        <v>2021</v>
      </c>
      <c r="E1549" s="11">
        <v>3.1309999999999998</v>
      </c>
      <c r="F1549" s="11">
        <v>101.54900000000001</v>
      </c>
      <c r="G1549" s="11">
        <v>27.4</v>
      </c>
      <c r="H1549" s="1" t="s">
        <v>0</v>
      </c>
      <c r="I1549">
        <v>0</v>
      </c>
      <c r="J1549" t="s">
        <v>6</v>
      </c>
      <c r="K1549">
        <v>25.9</v>
      </c>
      <c r="L1549">
        <v>30.3</v>
      </c>
      <c r="M1549">
        <f t="shared" si="99"/>
        <v>0</v>
      </c>
    </row>
    <row r="1550" spans="1:13" x14ac:dyDescent="0.2">
      <c r="A1550" s="9">
        <v>44288</v>
      </c>
      <c r="B1550">
        <f t="shared" si="96"/>
        <v>2</v>
      </c>
      <c r="C1550">
        <f t="shared" si="97"/>
        <v>4</v>
      </c>
      <c r="D1550">
        <f t="shared" si="98"/>
        <v>2021</v>
      </c>
      <c r="E1550" s="11">
        <v>3.1309999999999998</v>
      </c>
      <c r="F1550" s="11">
        <v>101.54900000000001</v>
      </c>
      <c r="G1550" s="11">
        <v>27.4</v>
      </c>
      <c r="H1550" s="1" t="s">
        <v>0</v>
      </c>
      <c r="I1550">
        <v>0</v>
      </c>
      <c r="J1550" t="s">
        <v>6</v>
      </c>
      <c r="K1550">
        <v>26</v>
      </c>
      <c r="L1550">
        <v>29.1</v>
      </c>
      <c r="M1550">
        <f t="shared" si="99"/>
        <v>0</v>
      </c>
    </row>
    <row r="1551" spans="1:13" x14ac:dyDescent="0.2">
      <c r="A1551" s="9">
        <v>44289</v>
      </c>
      <c r="B1551">
        <f t="shared" si="96"/>
        <v>3</v>
      </c>
      <c r="C1551">
        <f t="shared" si="97"/>
        <v>4</v>
      </c>
      <c r="D1551">
        <f t="shared" si="98"/>
        <v>2021</v>
      </c>
      <c r="E1551" s="11">
        <v>3.1309999999999998</v>
      </c>
      <c r="F1551" s="11">
        <v>101.54900000000001</v>
      </c>
      <c r="G1551" s="11">
        <v>27.4</v>
      </c>
      <c r="H1551" s="1" t="s">
        <v>0</v>
      </c>
      <c r="I1551">
        <v>5.0999999999999996</v>
      </c>
      <c r="J1551" t="s">
        <v>6</v>
      </c>
      <c r="K1551" t="s">
        <v>6</v>
      </c>
      <c r="L1551">
        <v>29.7</v>
      </c>
      <c r="M1551">
        <f t="shared" si="99"/>
        <v>1</v>
      </c>
    </row>
    <row r="1552" spans="1:13" x14ac:dyDescent="0.2">
      <c r="A1552" s="9">
        <v>44290</v>
      </c>
      <c r="B1552">
        <f t="shared" si="96"/>
        <v>4</v>
      </c>
      <c r="C1552">
        <f t="shared" si="97"/>
        <v>4</v>
      </c>
      <c r="D1552">
        <f t="shared" si="98"/>
        <v>2021</v>
      </c>
      <c r="E1552" s="11">
        <v>3.1309999999999998</v>
      </c>
      <c r="F1552" s="11">
        <v>101.54900000000001</v>
      </c>
      <c r="G1552" s="11">
        <v>27.4</v>
      </c>
      <c r="H1552" s="1" t="s">
        <v>0</v>
      </c>
      <c r="I1552">
        <v>0</v>
      </c>
      <c r="J1552">
        <v>34.1</v>
      </c>
      <c r="K1552">
        <v>26.3</v>
      </c>
      <c r="L1552">
        <v>29.4</v>
      </c>
      <c r="M1552">
        <f t="shared" si="99"/>
        <v>0</v>
      </c>
    </row>
    <row r="1553" spans="1:13" x14ac:dyDescent="0.2">
      <c r="A1553" s="9">
        <v>44291</v>
      </c>
      <c r="B1553">
        <f t="shared" si="96"/>
        <v>5</v>
      </c>
      <c r="C1553">
        <f t="shared" si="97"/>
        <v>4</v>
      </c>
      <c r="D1553">
        <f t="shared" si="98"/>
        <v>2021</v>
      </c>
      <c r="E1553" s="11">
        <v>3.1309999999999998</v>
      </c>
      <c r="F1553" s="11">
        <v>101.54900000000001</v>
      </c>
      <c r="G1553" s="11">
        <v>27.4</v>
      </c>
      <c r="H1553" s="1" t="s">
        <v>0</v>
      </c>
      <c r="I1553">
        <v>0</v>
      </c>
      <c r="J1553" t="s">
        <v>6</v>
      </c>
      <c r="K1553" t="s">
        <v>6</v>
      </c>
      <c r="L1553">
        <v>27.4</v>
      </c>
      <c r="M1553">
        <f t="shared" si="99"/>
        <v>0</v>
      </c>
    </row>
    <row r="1554" spans="1:13" x14ac:dyDescent="0.2">
      <c r="A1554" s="9">
        <v>44292</v>
      </c>
      <c r="B1554">
        <f t="shared" si="96"/>
        <v>6</v>
      </c>
      <c r="C1554">
        <f t="shared" si="97"/>
        <v>4</v>
      </c>
      <c r="D1554">
        <f t="shared" si="98"/>
        <v>2021</v>
      </c>
      <c r="E1554" s="11">
        <v>3.1309999999999998</v>
      </c>
      <c r="F1554" s="11">
        <v>101.54900000000001</v>
      </c>
      <c r="G1554" s="11">
        <v>27.4</v>
      </c>
      <c r="H1554" s="1" t="s">
        <v>0</v>
      </c>
      <c r="I1554">
        <v>63</v>
      </c>
      <c r="J1554" t="s">
        <v>6</v>
      </c>
      <c r="K1554">
        <v>23.6</v>
      </c>
      <c r="L1554">
        <v>27.8</v>
      </c>
      <c r="M1554">
        <f t="shared" si="99"/>
        <v>1</v>
      </c>
    </row>
    <row r="1555" spans="1:13" x14ac:dyDescent="0.2">
      <c r="A1555" s="9">
        <v>44293</v>
      </c>
      <c r="B1555">
        <f t="shared" si="96"/>
        <v>7</v>
      </c>
      <c r="C1555">
        <f t="shared" si="97"/>
        <v>4</v>
      </c>
      <c r="D1555">
        <f t="shared" si="98"/>
        <v>2021</v>
      </c>
      <c r="E1555" s="11">
        <v>3.1309999999999998</v>
      </c>
      <c r="F1555" s="11">
        <v>101.54900000000001</v>
      </c>
      <c r="G1555" s="11">
        <v>27.4</v>
      </c>
      <c r="H1555" s="1" t="s">
        <v>0</v>
      </c>
      <c r="I1555">
        <v>0</v>
      </c>
      <c r="J1555" t="s">
        <v>6</v>
      </c>
      <c r="K1555" t="s">
        <v>6</v>
      </c>
      <c r="L1555">
        <v>28.1</v>
      </c>
      <c r="M1555">
        <f t="shared" si="99"/>
        <v>0</v>
      </c>
    </row>
    <row r="1556" spans="1:13" x14ac:dyDescent="0.2">
      <c r="A1556" s="9">
        <v>44294</v>
      </c>
      <c r="B1556">
        <f t="shared" si="96"/>
        <v>8</v>
      </c>
      <c r="C1556">
        <f t="shared" si="97"/>
        <v>4</v>
      </c>
      <c r="D1556">
        <f t="shared" si="98"/>
        <v>2021</v>
      </c>
      <c r="E1556" s="11">
        <v>3.1309999999999998</v>
      </c>
      <c r="F1556" s="11">
        <v>101.54900000000001</v>
      </c>
      <c r="G1556" s="11">
        <v>27.4</v>
      </c>
      <c r="H1556" s="1" t="s">
        <v>0</v>
      </c>
      <c r="I1556">
        <v>3</v>
      </c>
      <c r="J1556" t="s">
        <v>6</v>
      </c>
      <c r="K1556">
        <v>24</v>
      </c>
      <c r="L1556">
        <v>29.1</v>
      </c>
      <c r="M1556">
        <f t="shared" si="99"/>
        <v>1</v>
      </c>
    </row>
    <row r="1557" spans="1:13" x14ac:dyDescent="0.2">
      <c r="A1557" s="9">
        <v>44295</v>
      </c>
      <c r="B1557">
        <f t="shared" si="96"/>
        <v>9</v>
      </c>
      <c r="C1557">
        <f t="shared" si="97"/>
        <v>4</v>
      </c>
      <c r="D1557">
        <f t="shared" si="98"/>
        <v>2021</v>
      </c>
      <c r="E1557" s="11">
        <v>3.1309999999999998</v>
      </c>
      <c r="F1557" s="11">
        <v>101.54900000000001</v>
      </c>
      <c r="G1557" s="11">
        <v>27.4</v>
      </c>
      <c r="H1557" s="1" t="s">
        <v>0</v>
      </c>
      <c r="I1557">
        <v>0</v>
      </c>
      <c r="J1557" t="s">
        <v>6</v>
      </c>
      <c r="K1557" t="s">
        <v>6</v>
      </c>
      <c r="L1557">
        <v>28.3</v>
      </c>
      <c r="M1557">
        <f t="shared" si="99"/>
        <v>0</v>
      </c>
    </row>
    <row r="1558" spans="1:13" x14ac:dyDescent="0.2">
      <c r="A1558" s="9">
        <v>44296</v>
      </c>
      <c r="B1558">
        <f t="shared" si="96"/>
        <v>10</v>
      </c>
      <c r="C1558">
        <f t="shared" si="97"/>
        <v>4</v>
      </c>
      <c r="D1558">
        <f t="shared" si="98"/>
        <v>2021</v>
      </c>
      <c r="E1558" s="11">
        <v>3.1309999999999998</v>
      </c>
      <c r="F1558" s="11">
        <v>101.54900000000001</v>
      </c>
      <c r="G1558" s="11">
        <v>27.4</v>
      </c>
      <c r="H1558" s="1" t="s">
        <v>0</v>
      </c>
      <c r="I1558">
        <v>5.0999999999999996</v>
      </c>
      <c r="J1558">
        <v>35.1</v>
      </c>
      <c r="K1558">
        <v>24.9</v>
      </c>
      <c r="L1558">
        <v>28.7</v>
      </c>
      <c r="M1558">
        <f t="shared" si="99"/>
        <v>1</v>
      </c>
    </row>
    <row r="1559" spans="1:13" x14ac:dyDescent="0.2">
      <c r="A1559" s="9">
        <v>44297</v>
      </c>
      <c r="B1559">
        <f t="shared" si="96"/>
        <v>11</v>
      </c>
      <c r="C1559">
        <f t="shared" si="97"/>
        <v>4</v>
      </c>
      <c r="D1559">
        <f t="shared" si="98"/>
        <v>2021</v>
      </c>
      <c r="E1559" s="11">
        <v>3.1309999999999998</v>
      </c>
      <c r="F1559" s="11">
        <v>101.54900000000001</v>
      </c>
      <c r="G1559" s="11">
        <v>27.4</v>
      </c>
      <c r="H1559" s="1" t="s">
        <v>0</v>
      </c>
      <c r="I1559">
        <v>15.5</v>
      </c>
      <c r="J1559" t="s">
        <v>6</v>
      </c>
      <c r="K1559" t="s">
        <v>6</v>
      </c>
      <c r="L1559">
        <v>28</v>
      </c>
      <c r="M1559">
        <f t="shared" si="99"/>
        <v>1</v>
      </c>
    </row>
    <row r="1560" spans="1:13" x14ac:dyDescent="0.2">
      <c r="A1560" s="9">
        <v>44298</v>
      </c>
      <c r="B1560">
        <f t="shared" si="96"/>
        <v>12</v>
      </c>
      <c r="C1560">
        <f t="shared" si="97"/>
        <v>4</v>
      </c>
      <c r="D1560">
        <f t="shared" si="98"/>
        <v>2021</v>
      </c>
      <c r="E1560" s="11">
        <v>3.1309999999999998</v>
      </c>
      <c r="F1560" s="11">
        <v>101.54900000000001</v>
      </c>
      <c r="G1560" s="11">
        <v>27.4</v>
      </c>
      <c r="H1560" s="1" t="s">
        <v>0</v>
      </c>
      <c r="I1560">
        <v>49</v>
      </c>
      <c r="J1560" t="s">
        <v>6</v>
      </c>
      <c r="K1560" t="s">
        <v>6</v>
      </c>
      <c r="L1560">
        <v>27.7</v>
      </c>
      <c r="M1560">
        <f t="shared" si="99"/>
        <v>1</v>
      </c>
    </row>
    <row r="1561" spans="1:13" x14ac:dyDescent="0.2">
      <c r="A1561" s="9">
        <v>44299</v>
      </c>
      <c r="B1561">
        <f t="shared" si="96"/>
        <v>13</v>
      </c>
      <c r="C1561">
        <f t="shared" si="97"/>
        <v>4</v>
      </c>
      <c r="D1561">
        <f t="shared" si="98"/>
        <v>2021</v>
      </c>
      <c r="E1561" s="11">
        <v>3.1309999999999998</v>
      </c>
      <c r="F1561" s="11">
        <v>101.54900000000001</v>
      </c>
      <c r="G1561" s="11">
        <v>27.4</v>
      </c>
      <c r="H1561" s="1" t="s">
        <v>0</v>
      </c>
      <c r="I1561">
        <v>43.9</v>
      </c>
      <c r="J1561">
        <v>33.6</v>
      </c>
      <c r="K1561">
        <v>23.2</v>
      </c>
      <c r="L1561">
        <v>26.9</v>
      </c>
      <c r="M1561">
        <f t="shared" si="99"/>
        <v>1</v>
      </c>
    </row>
    <row r="1562" spans="1:13" x14ac:dyDescent="0.2">
      <c r="A1562" s="9">
        <v>44300</v>
      </c>
      <c r="B1562">
        <f t="shared" si="96"/>
        <v>14</v>
      </c>
      <c r="C1562">
        <f t="shared" si="97"/>
        <v>4</v>
      </c>
      <c r="D1562">
        <f t="shared" si="98"/>
        <v>2021</v>
      </c>
      <c r="E1562" s="11">
        <v>3.1309999999999998</v>
      </c>
      <c r="F1562" s="11">
        <v>101.54900000000001</v>
      </c>
      <c r="G1562" s="11">
        <v>27.4</v>
      </c>
      <c r="H1562" s="1" t="s">
        <v>0</v>
      </c>
      <c r="I1562">
        <v>22.9</v>
      </c>
      <c r="J1562" t="s">
        <v>6</v>
      </c>
      <c r="K1562">
        <v>23.8</v>
      </c>
      <c r="L1562">
        <v>27.3</v>
      </c>
      <c r="M1562">
        <f t="shared" si="99"/>
        <v>1</v>
      </c>
    </row>
    <row r="1563" spans="1:13" x14ac:dyDescent="0.2">
      <c r="A1563" s="9">
        <v>44301</v>
      </c>
      <c r="B1563">
        <f t="shared" si="96"/>
        <v>15</v>
      </c>
      <c r="C1563">
        <f t="shared" si="97"/>
        <v>4</v>
      </c>
      <c r="D1563">
        <f t="shared" si="98"/>
        <v>2021</v>
      </c>
      <c r="E1563" s="11">
        <v>3.1309999999999998</v>
      </c>
      <c r="F1563" s="11">
        <v>101.54900000000001</v>
      </c>
      <c r="G1563" s="11">
        <v>27.4</v>
      </c>
      <c r="H1563" s="1" t="s">
        <v>0</v>
      </c>
      <c r="I1563">
        <v>0.5</v>
      </c>
      <c r="J1563" t="s">
        <v>6</v>
      </c>
      <c r="K1563">
        <v>24</v>
      </c>
      <c r="L1563">
        <v>27.2</v>
      </c>
      <c r="M1563">
        <f t="shared" si="99"/>
        <v>1</v>
      </c>
    </row>
    <row r="1564" spans="1:13" x14ac:dyDescent="0.2">
      <c r="A1564" s="9">
        <v>44302</v>
      </c>
      <c r="B1564">
        <f t="shared" si="96"/>
        <v>16</v>
      </c>
      <c r="C1564">
        <f t="shared" si="97"/>
        <v>4</v>
      </c>
      <c r="D1564">
        <f t="shared" si="98"/>
        <v>2021</v>
      </c>
      <c r="E1564" s="11">
        <v>3.1309999999999998</v>
      </c>
      <c r="F1564" s="11">
        <v>101.54900000000001</v>
      </c>
      <c r="G1564" s="11">
        <v>27.4</v>
      </c>
      <c r="H1564" s="1" t="s">
        <v>0</v>
      </c>
      <c r="I1564">
        <v>15</v>
      </c>
      <c r="J1564" t="s">
        <v>6</v>
      </c>
      <c r="K1564" t="s">
        <v>6</v>
      </c>
      <c r="L1564">
        <v>26</v>
      </c>
      <c r="M1564">
        <f t="shared" si="99"/>
        <v>1</v>
      </c>
    </row>
    <row r="1565" spans="1:13" x14ac:dyDescent="0.2">
      <c r="A1565" s="9">
        <v>44303</v>
      </c>
      <c r="B1565">
        <f t="shared" si="96"/>
        <v>17</v>
      </c>
      <c r="C1565">
        <f t="shared" si="97"/>
        <v>4</v>
      </c>
      <c r="D1565">
        <f t="shared" si="98"/>
        <v>2021</v>
      </c>
      <c r="E1565" s="11">
        <v>3.1309999999999998</v>
      </c>
      <c r="F1565" s="11">
        <v>101.54900000000001</v>
      </c>
      <c r="G1565" s="11">
        <v>27.4</v>
      </c>
      <c r="H1565" s="1" t="s">
        <v>0</v>
      </c>
      <c r="I1565">
        <v>24.9</v>
      </c>
      <c r="J1565" t="s">
        <v>6</v>
      </c>
      <c r="K1565">
        <v>23.7</v>
      </c>
      <c r="L1565">
        <v>27</v>
      </c>
      <c r="M1565">
        <f t="shared" si="99"/>
        <v>1</v>
      </c>
    </row>
    <row r="1566" spans="1:13" x14ac:dyDescent="0.2">
      <c r="A1566" s="9">
        <v>44304</v>
      </c>
      <c r="B1566">
        <f t="shared" si="96"/>
        <v>18</v>
      </c>
      <c r="C1566">
        <f t="shared" si="97"/>
        <v>4</v>
      </c>
      <c r="D1566">
        <f t="shared" si="98"/>
        <v>2021</v>
      </c>
      <c r="E1566" s="11">
        <v>3.1309999999999998</v>
      </c>
      <c r="F1566" s="11">
        <v>101.54900000000001</v>
      </c>
      <c r="G1566" s="11">
        <v>27.4</v>
      </c>
      <c r="H1566" s="1" t="s">
        <v>0</v>
      </c>
      <c r="I1566">
        <v>7.9</v>
      </c>
      <c r="J1566" t="s">
        <v>6</v>
      </c>
      <c r="K1566">
        <v>23.7</v>
      </c>
      <c r="L1566">
        <v>28.8</v>
      </c>
      <c r="M1566">
        <f t="shared" si="99"/>
        <v>1</v>
      </c>
    </row>
    <row r="1567" spans="1:13" x14ac:dyDescent="0.2">
      <c r="A1567" s="9">
        <v>44305</v>
      </c>
      <c r="B1567">
        <f t="shared" si="96"/>
        <v>19</v>
      </c>
      <c r="C1567">
        <f t="shared" si="97"/>
        <v>4</v>
      </c>
      <c r="D1567">
        <f t="shared" si="98"/>
        <v>2021</v>
      </c>
      <c r="E1567" s="11">
        <v>3.1309999999999998</v>
      </c>
      <c r="F1567" s="11">
        <v>101.54900000000001</v>
      </c>
      <c r="G1567" s="11">
        <v>27.4</v>
      </c>
      <c r="H1567" s="1" t="s">
        <v>0</v>
      </c>
      <c r="I1567">
        <v>0</v>
      </c>
      <c r="J1567">
        <v>33</v>
      </c>
      <c r="K1567">
        <v>24.2</v>
      </c>
      <c r="L1567">
        <v>27.3</v>
      </c>
      <c r="M1567">
        <f t="shared" si="99"/>
        <v>0</v>
      </c>
    </row>
    <row r="1568" spans="1:13" x14ac:dyDescent="0.2">
      <c r="A1568" s="9">
        <v>44306</v>
      </c>
      <c r="B1568">
        <f t="shared" si="96"/>
        <v>20</v>
      </c>
      <c r="C1568">
        <f t="shared" si="97"/>
        <v>4</v>
      </c>
      <c r="D1568">
        <f t="shared" si="98"/>
        <v>2021</v>
      </c>
      <c r="E1568" s="11">
        <v>3.1309999999999998</v>
      </c>
      <c r="F1568" s="11">
        <v>101.54900000000001</v>
      </c>
      <c r="G1568" s="11">
        <v>27.4</v>
      </c>
      <c r="H1568" s="1" t="s">
        <v>0</v>
      </c>
      <c r="I1568">
        <v>13</v>
      </c>
      <c r="J1568" t="s">
        <v>6</v>
      </c>
      <c r="K1568">
        <v>24.5</v>
      </c>
      <c r="L1568">
        <v>29.2</v>
      </c>
      <c r="M1568">
        <f t="shared" si="99"/>
        <v>1</v>
      </c>
    </row>
    <row r="1569" spans="1:13" x14ac:dyDescent="0.2">
      <c r="A1569" s="9">
        <v>44307</v>
      </c>
      <c r="B1569">
        <f t="shared" si="96"/>
        <v>21</v>
      </c>
      <c r="C1569">
        <f t="shared" si="97"/>
        <v>4</v>
      </c>
      <c r="D1569">
        <f t="shared" si="98"/>
        <v>2021</v>
      </c>
      <c r="E1569" s="11">
        <v>3.1309999999999998</v>
      </c>
      <c r="F1569" s="11">
        <v>101.54900000000001</v>
      </c>
      <c r="G1569" s="11">
        <v>27.4</v>
      </c>
      <c r="H1569" s="1" t="s">
        <v>0</v>
      </c>
      <c r="I1569">
        <v>0</v>
      </c>
      <c r="J1569" t="s">
        <v>6</v>
      </c>
      <c r="K1569">
        <v>25.3</v>
      </c>
      <c r="L1569">
        <v>28.7</v>
      </c>
      <c r="M1569">
        <f t="shared" si="99"/>
        <v>0</v>
      </c>
    </row>
    <row r="1570" spans="1:13" x14ac:dyDescent="0.2">
      <c r="A1570" s="9">
        <v>44308</v>
      </c>
      <c r="B1570">
        <f t="shared" si="96"/>
        <v>22</v>
      </c>
      <c r="C1570">
        <f t="shared" si="97"/>
        <v>4</v>
      </c>
      <c r="D1570">
        <f t="shared" si="98"/>
        <v>2021</v>
      </c>
      <c r="E1570" s="11">
        <v>3.1309999999999998</v>
      </c>
      <c r="F1570" s="11">
        <v>101.54900000000001</v>
      </c>
      <c r="G1570" s="11">
        <v>27.4</v>
      </c>
      <c r="H1570" s="1" t="s">
        <v>0</v>
      </c>
      <c r="I1570">
        <v>0</v>
      </c>
      <c r="J1570" t="s">
        <v>6</v>
      </c>
      <c r="K1570" t="s">
        <v>6</v>
      </c>
      <c r="L1570">
        <v>27.2</v>
      </c>
      <c r="M1570">
        <f t="shared" si="99"/>
        <v>0</v>
      </c>
    </row>
    <row r="1571" spans="1:13" x14ac:dyDescent="0.2">
      <c r="A1571" s="9">
        <v>44309</v>
      </c>
      <c r="B1571">
        <f t="shared" si="96"/>
        <v>23</v>
      </c>
      <c r="C1571">
        <f t="shared" si="97"/>
        <v>4</v>
      </c>
      <c r="D1571">
        <f t="shared" si="98"/>
        <v>2021</v>
      </c>
      <c r="E1571" s="11">
        <v>3.1309999999999998</v>
      </c>
      <c r="F1571" s="11">
        <v>101.54900000000001</v>
      </c>
      <c r="G1571" s="11">
        <v>27.4</v>
      </c>
      <c r="H1571" s="1" t="s">
        <v>0</v>
      </c>
      <c r="I1571">
        <v>5.3</v>
      </c>
      <c r="J1571" t="s">
        <v>6</v>
      </c>
      <c r="K1571">
        <v>23.9</v>
      </c>
      <c r="L1571">
        <v>28.4</v>
      </c>
      <c r="M1571">
        <f t="shared" si="99"/>
        <v>1</v>
      </c>
    </row>
    <row r="1572" spans="1:13" x14ac:dyDescent="0.2">
      <c r="A1572" s="9">
        <v>44310</v>
      </c>
      <c r="B1572">
        <f t="shared" si="96"/>
        <v>24</v>
      </c>
      <c r="C1572">
        <f t="shared" si="97"/>
        <v>4</v>
      </c>
      <c r="D1572">
        <f t="shared" si="98"/>
        <v>2021</v>
      </c>
      <c r="E1572" s="11">
        <v>3.1309999999999998</v>
      </c>
      <c r="F1572" s="11">
        <v>101.54900000000001</v>
      </c>
      <c r="G1572" s="11">
        <v>27.4</v>
      </c>
      <c r="H1572" s="1" t="s">
        <v>0</v>
      </c>
      <c r="I1572">
        <v>0</v>
      </c>
      <c r="J1572" t="s">
        <v>6</v>
      </c>
      <c r="K1572">
        <v>24.5</v>
      </c>
      <c r="L1572">
        <v>28.9</v>
      </c>
      <c r="M1572">
        <f t="shared" si="99"/>
        <v>0</v>
      </c>
    </row>
    <row r="1573" spans="1:13" x14ac:dyDescent="0.2">
      <c r="A1573" s="9">
        <v>44311</v>
      </c>
      <c r="B1573">
        <f t="shared" si="96"/>
        <v>25</v>
      </c>
      <c r="C1573">
        <f t="shared" si="97"/>
        <v>4</v>
      </c>
      <c r="D1573">
        <f t="shared" si="98"/>
        <v>2021</v>
      </c>
      <c r="E1573" s="11">
        <v>3.1309999999999998</v>
      </c>
      <c r="F1573" s="11">
        <v>101.54900000000001</v>
      </c>
      <c r="G1573" s="11">
        <v>27.4</v>
      </c>
      <c r="H1573" s="1" t="s">
        <v>0</v>
      </c>
      <c r="I1573">
        <v>0</v>
      </c>
      <c r="J1573" t="s">
        <v>6</v>
      </c>
      <c r="K1573">
        <v>24.9</v>
      </c>
      <c r="L1573">
        <v>28.8</v>
      </c>
      <c r="M1573">
        <f t="shared" si="99"/>
        <v>0</v>
      </c>
    </row>
    <row r="1574" spans="1:13" x14ac:dyDescent="0.2">
      <c r="A1574" s="9">
        <v>44312</v>
      </c>
      <c r="B1574">
        <f t="shared" si="96"/>
        <v>26</v>
      </c>
      <c r="C1574">
        <f t="shared" si="97"/>
        <v>4</v>
      </c>
      <c r="D1574">
        <f t="shared" si="98"/>
        <v>2021</v>
      </c>
      <c r="E1574" s="11">
        <v>3.1309999999999998</v>
      </c>
      <c r="F1574" s="11">
        <v>101.54900000000001</v>
      </c>
      <c r="G1574" s="11">
        <v>27.4</v>
      </c>
      <c r="H1574" s="1" t="s">
        <v>0</v>
      </c>
      <c r="I1574">
        <v>0.3</v>
      </c>
      <c r="J1574" t="s">
        <v>6</v>
      </c>
      <c r="K1574" t="s">
        <v>6</v>
      </c>
      <c r="L1574">
        <v>26.9</v>
      </c>
      <c r="M1574">
        <f t="shared" si="99"/>
        <v>1</v>
      </c>
    </row>
    <row r="1575" spans="1:13" x14ac:dyDescent="0.2">
      <c r="A1575" s="9">
        <v>44313</v>
      </c>
      <c r="B1575">
        <f t="shared" si="96"/>
        <v>27</v>
      </c>
      <c r="C1575">
        <f t="shared" si="97"/>
        <v>4</v>
      </c>
      <c r="D1575">
        <f t="shared" si="98"/>
        <v>2021</v>
      </c>
      <c r="E1575" s="11">
        <v>3.1309999999999998</v>
      </c>
      <c r="F1575" s="11">
        <v>101.54900000000001</v>
      </c>
      <c r="G1575" s="11">
        <v>27.4</v>
      </c>
      <c r="H1575" s="1" t="s">
        <v>0</v>
      </c>
      <c r="I1575">
        <v>58.7</v>
      </c>
      <c r="J1575">
        <v>33.4</v>
      </c>
      <c r="K1575">
        <v>23.8</v>
      </c>
      <c r="L1575">
        <v>27.1</v>
      </c>
      <c r="M1575">
        <f t="shared" si="99"/>
        <v>1</v>
      </c>
    </row>
    <row r="1576" spans="1:13" x14ac:dyDescent="0.2">
      <c r="A1576" s="9">
        <v>44314</v>
      </c>
      <c r="B1576">
        <f t="shared" si="96"/>
        <v>28</v>
      </c>
      <c r="C1576">
        <f t="shared" si="97"/>
        <v>4</v>
      </c>
      <c r="D1576">
        <f t="shared" si="98"/>
        <v>2021</v>
      </c>
      <c r="E1576" s="11">
        <v>3.1309999999999998</v>
      </c>
      <c r="F1576" s="11">
        <v>101.54900000000001</v>
      </c>
      <c r="G1576" s="11">
        <v>27.4</v>
      </c>
      <c r="H1576" s="1" t="s">
        <v>0</v>
      </c>
      <c r="I1576">
        <v>8.9</v>
      </c>
      <c r="J1576" t="s">
        <v>6</v>
      </c>
      <c r="K1576" t="s">
        <v>6</v>
      </c>
      <c r="L1576">
        <v>26.8</v>
      </c>
      <c r="M1576">
        <f t="shared" si="99"/>
        <v>1</v>
      </c>
    </row>
    <row r="1577" spans="1:13" x14ac:dyDescent="0.2">
      <c r="A1577" s="9">
        <v>44315</v>
      </c>
      <c r="B1577">
        <f t="shared" si="96"/>
        <v>29</v>
      </c>
      <c r="C1577">
        <f t="shared" si="97"/>
        <v>4</v>
      </c>
      <c r="D1577">
        <f t="shared" si="98"/>
        <v>2021</v>
      </c>
      <c r="E1577" s="11">
        <v>3.1309999999999998</v>
      </c>
      <c r="F1577" s="11">
        <v>101.54900000000001</v>
      </c>
      <c r="G1577" s="11">
        <v>27.4</v>
      </c>
      <c r="H1577" s="1" t="s">
        <v>0</v>
      </c>
      <c r="I1577">
        <v>31.5</v>
      </c>
      <c r="J1577" t="s">
        <v>6</v>
      </c>
      <c r="K1577">
        <v>23.9</v>
      </c>
      <c r="L1577">
        <v>27.6</v>
      </c>
      <c r="M1577">
        <f t="shared" si="99"/>
        <v>1</v>
      </c>
    </row>
    <row r="1578" spans="1:13" x14ac:dyDescent="0.2">
      <c r="A1578" s="9">
        <v>44316</v>
      </c>
      <c r="B1578">
        <f t="shared" si="96"/>
        <v>30</v>
      </c>
      <c r="C1578">
        <f t="shared" si="97"/>
        <v>4</v>
      </c>
      <c r="D1578">
        <f t="shared" si="98"/>
        <v>2021</v>
      </c>
      <c r="E1578" s="11">
        <v>3.1309999999999998</v>
      </c>
      <c r="F1578" s="11">
        <v>101.54900000000001</v>
      </c>
      <c r="G1578" s="11">
        <v>27.4</v>
      </c>
      <c r="H1578" s="1" t="s">
        <v>0</v>
      </c>
      <c r="I1578">
        <v>21.6</v>
      </c>
      <c r="J1578">
        <v>32.6</v>
      </c>
      <c r="K1578" t="s">
        <v>6</v>
      </c>
      <c r="L1578">
        <v>26.8</v>
      </c>
      <c r="M1578">
        <f t="shared" si="99"/>
        <v>1</v>
      </c>
    </row>
    <row r="1579" spans="1:13" x14ac:dyDescent="0.2">
      <c r="A1579" s="9">
        <v>44317</v>
      </c>
      <c r="B1579">
        <f t="shared" si="96"/>
        <v>1</v>
      </c>
      <c r="C1579">
        <f t="shared" si="97"/>
        <v>5</v>
      </c>
      <c r="D1579">
        <f t="shared" si="98"/>
        <v>2021</v>
      </c>
      <c r="E1579" s="11">
        <v>3.1309999999999998</v>
      </c>
      <c r="F1579" s="11">
        <v>101.54900000000001</v>
      </c>
      <c r="G1579" s="11">
        <v>27.4</v>
      </c>
      <c r="H1579" s="1" t="s">
        <v>0</v>
      </c>
      <c r="I1579">
        <v>12.2</v>
      </c>
      <c r="J1579">
        <v>33.9</v>
      </c>
      <c r="K1579" t="s">
        <v>6</v>
      </c>
      <c r="L1579">
        <v>27.9</v>
      </c>
      <c r="M1579">
        <f t="shared" si="99"/>
        <v>1</v>
      </c>
    </row>
    <row r="1580" spans="1:13" x14ac:dyDescent="0.2">
      <c r="A1580" s="9">
        <v>44318</v>
      </c>
      <c r="B1580">
        <f t="shared" si="96"/>
        <v>2</v>
      </c>
      <c r="C1580">
        <f t="shared" si="97"/>
        <v>5</v>
      </c>
      <c r="D1580">
        <f t="shared" si="98"/>
        <v>2021</v>
      </c>
      <c r="E1580" s="11">
        <v>3.1309999999999998</v>
      </c>
      <c r="F1580" s="11">
        <v>101.54900000000001</v>
      </c>
      <c r="G1580" s="11">
        <v>27.4</v>
      </c>
      <c r="H1580" s="1" t="s">
        <v>0</v>
      </c>
      <c r="I1580">
        <v>37.6</v>
      </c>
      <c r="J1580" t="s">
        <v>6</v>
      </c>
      <c r="K1580">
        <v>23.7</v>
      </c>
      <c r="L1580">
        <v>28.1</v>
      </c>
      <c r="M1580">
        <f t="shared" si="99"/>
        <v>1</v>
      </c>
    </row>
    <row r="1581" spans="1:13" x14ac:dyDescent="0.2">
      <c r="A1581" s="9">
        <v>44319</v>
      </c>
      <c r="B1581">
        <f t="shared" si="96"/>
        <v>3</v>
      </c>
      <c r="C1581">
        <f t="shared" si="97"/>
        <v>5</v>
      </c>
      <c r="D1581">
        <f t="shared" si="98"/>
        <v>2021</v>
      </c>
      <c r="E1581" s="11">
        <v>3.1309999999999998</v>
      </c>
      <c r="F1581" s="11">
        <v>101.54900000000001</v>
      </c>
      <c r="G1581" s="11">
        <v>27.4</v>
      </c>
      <c r="H1581" s="1" t="s">
        <v>0</v>
      </c>
      <c r="I1581">
        <v>40.9</v>
      </c>
      <c r="J1581" t="s">
        <v>6</v>
      </c>
      <c r="K1581" t="s">
        <v>6</v>
      </c>
      <c r="L1581">
        <v>28</v>
      </c>
      <c r="M1581">
        <f t="shared" si="99"/>
        <v>1</v>
      </c>
    </row>
    <row r="1582" spans="1:13" x14ac:dyDescent="0.2">
      <c r="A1582" s="9">
        <v>44320</v>
      </c>
      <c r="B1582">
        <f t="shared" si="96"/>
        <v>4</v>
      </c>
      <c r="C1582">
        <f t="shared" si="97"/>
        <v>5</v>
      </c>
      <c r="D1582">
        <f t="shared" si="98"/>
        <v>2021</v>
      </c>
      <c r="E1582" s="11">
        <v>3.1309999999999998</v>
      </c>
      <c r="F1582" s="11">
        <v>101.54900000000001</v>
      </c>
      <c r="G1582" s="11">
        <v>27.4</v>
      </c>
      <c r="H1582" s="1" t="s">
        <v>0</v>
      </c>
      <c r="I1582">
        <v>27.9</v>
      </c>
      <c r="J1582" t="s">
        <v>6</v>
      </c>
      <c r="K1582" t="s">
        <v>6</v>
      </c>
      <c r="L1582">
        <v>27.3</v>
      </c>
      <c r="M1582">
        <f t="shared" si="99"/>
        <v>1</v>
      </c>
    </row>
    <row r="1583" spans="1:13" x14ac:dyDescent="0.2">
      <c r="A1583" s="9">
        <v>44321</v>
      </c>
      <c r="B1583">
        <f t="shared" si="96"/>
        <v>5</v>
      </c>
      <c r="C1583">
        <f t="shared" si="97"/>
        <v>5</v>
      </c>
      <c r="D1583">
        <f t="shared" si="98"/>
        <v>2021</v>
      </c>
      <c r="E1583" s="11">
        <v>3.1309999999999998</v>
      </c>
      <c r="F1583" s="11">
        <v>101.54900000000001</v>
      </c>
      <c r="G1583" s="11">
        <v>27.4</v>
      </c>
      <c r="H1583" s="1" t="s">
        <v>0</v>
      </c>
      <c r="I1583">
        <v>7.1</v>
      </c>
      <c r="J1583">
        <v>33.1</v>
      </c>
      <c r="K1583" t="s">
        <v>6</v>
      </c>
      <c r="L1583">
        <v>26.4</v>
      </c>
      <c r="M1583">
        <f t="shared" si="99"/>
        <v>1</v>
      </c>
    </row>
    <row r="1584" spans="1:13" x14ac:dyDescent="0.2">
      <c r="A1584" s="9">
        <v>44322</v>
      </c>
      <c r="B1584">
        <f t="shared" si="96"/>
        <v>6</v>
      </c>
      <c r="C1584">
        <f t="shared" si="97"/>
        <v>5</v>
      </c>
      <c r="D1584">
        <f t="shared" si="98"/>
        <v>2021</v>
      </c>
      <c r="E1584" s="11">
        <v>3.1309999999999998</v>
      </c>
      <c r="F1584" s="11">
        <v>101.54900000000001</v>
      </c>
      <c r="G1584" s="11">
        <v>27.4</v>
      </c>
      <c r="H1584" s="1" t="s">
        <v>0</v>
      </c>
      <c r="I1584">
        <v>45.7</v>
      </c>
      <c r="J1584" t="s">
        <v>6</v>
      </c>
      <c r="K1584">
        <v>22.9</v>
      </c>
      <c r="L1584">
        <v>26.9</v>
      </c>
      <c r="M1584">
        <f t="shared" si="99"/>
        <v>1</v>
      </c>
    </row>
    <row r="1585" spans="1:13" x14ac:dyDescent="0.2">
      <c r="A1585" s="9">
        <v>44323</v>
      </c>
      <c r="B1585">
        <f t="shared" si="96"/>
        <v>7</v>
      </c>
      <c r="C1585">
        <f t="shared" si="97"/>
        <v>5</v>
      </c>
      <c r="D1585">
        <f t="shared" si="98"/>
        <v>2021</v>
      </c>
      <c r="E1585" s="11">
        <v>3.1309999999999998</v>
      </c>
      <c r="F1585" s="11">
        <v>101.54900000000001</v>
      </c>
      <c r="G1585" s="11">
        <v>27.4</v>
      </c>
      <c r="H1585" s="1" t="s">
        <v>0</v>
      </c>
      <c r="I1585">
        <v>7.6</v>
      </c>
      <c r="J1585" t="s">
        <v>6</v>
      </c>
      <c r="K1585">
        <v>24.3</v>
      </c>
      <c r="L1585">
        <v>27.9</v>
      </c>
      <c r="M1585">
        <f t="shared" si="99"/>
        <v>1</v>
      </c>
    </row>
    <row r="1586" spans="1:13" x14ac:dyDescent="0.2">
      <c r="A1586" s="9">
        <v>44324</v>
      </c>
      <c r="B1586">
        <f t="shared" si="96"/>
        <v>8</v>
      </c>
      <c r="C1586">
        <f t="shared" si="97"/>
        <v>5</v>
      </c>
      <c r="D1586">
        <f t="shared" si="98"/>
        <v>2021</v>
      </c>
      <c r="E1586" s="11">
        <v>3.1309999999999998</v>
      </c>
      <c r="F1586" s="11">
        <v>101.54900000000001</v>
      </c>
      <c r="G1586" s="11">
        <v>27.4</v>
      </c>
      <c r="H1586" s="1" t="s">
        <v>0</v>
      </c>
      <c r="I1586">
        <v>0</v>
      </c>
      <c r="J1586" t="s">
        <v>6</v>
      </c>
      <c r="K1586">
        <v>24.6</v>
      </c>
      <c r="L1586">
        <v>27.1</v>
      </c>
      <c r="M1586">
        <f t="shared" si="99"/>
        <v>0</v>
      </c>
    </row>
    <row r="1587" spans="1:13" x14ac:dyDescent="0.2">
      <c r="A1587" s="9">
        <v>44325</v>
      </c>
      <c r="B1587">
        <f t="shared" si="96"/>
        <v>9</v>
      </c>
      <c r="C1587">
        <f t="shared" si="97"/>
        <v>5</v>
      </c>
      <c r="D1587">
        <f t="shared" si="98"/>
        <v>2021</v>
      </c>
      <c r="E1587" s="11">
        <v>3.1309999999999998</v>
      </c>
      <c r="F1587" s="11">
        <v>101.54900000000001</v>
      </c>
      <c r="G1587" s="11">
        <v>27.4</v>
      </c>
      <c r="H1587" s="1" t="s">
        <v>0</v>
      </c>
      <c r="I1587">
        <v>6.1</v>
      </c>
      <c r="J1587" t="s">
        <v>6</v>
      </c>
      <c r="K1587">
        <v>24.9</v>
      </c>
      <c r="L1587">
        <v>28.2</v>
      </c>
      <c r="M1587">
        <f t="shared" si="99"/>
        <v>1</v>
      </c>
    </row>
    <row r="1588" spans="1:13" x14ac:dyDescent="0.2">
      <c r="A1588" s="9">
        <v>44326</v>
      </c>
      <c r="B1588">
        <f t="shared" si="96"/>
        <v>10</v>
      </c>
      <c r="C1588">
        <f t="shared" si="97"/>
        <v>5</v>
      </c>
      <c r="D1588">
        <f t="shared" si="98"/>
        <v>2021</v>
      </c>
      <c r="E1588" s="11">
        <v>3.1309999999999998</v>
      </c>
      <c r="F1588" s="11">
        <v>101.54900000000001</v>
      </c>
      <c r="G1588" s="11">
        <v>27.4</v>
      </c>
      <c r="H1588" s="1" t="s">
        <v>0</v>
      </c>
      <c r="I1588">
        <v>0</v>
      </c>
      <c r="J1588" t="s">
        <v>6</v>
      </c>
      <c r="K1588">
        <v>25.4</v>
      </c>
      <c r="L1588">
        <v>29.1</v>
      </c>
      <c r="M1588">
        <f t="shared" si="99"/>
        <v>0</v>
      </c>
    </row>
    <row r="1589" spans="1:13" x14ac:dyDescent="0.2">
      <c r="A1589" s="9">
        <v>44327</v>
      </c>
      <c r="B1589">
        <f t="shared" si="96"/>
        <v>11</v>
      </c>
      <c r="C1589">
        <f t="shared" si="97"/>
        <v>5</v>
      </c>
      <c r="D1589">
        <f t="shared" si="98"/>
        <v>2021</v>
      </c>
      <c r="E1589" s="11">
        <v>3.1309999999999998</v>
      </c>
      <c r="F1589" s="11">
        <v>101.54900000000001</v>
      </c>
      <c r="G1589" s="11">
        <v>27.4</v>
      </c>
      <c r="H1589" s="1" t="s">
        <v>0</v>
      </c>
      <c r="I1589">
        <v>0.5</v>
      </c>
      <c r="J1589" t="s">
        <v>6</v>
      </c>
      <c r="K1589">
        <v>26</v>
      </c>
      <c r="L1589">
        <v>29</v>
      </c>
      <c r="M1589">
        <f t="shared" si="99"/>
        <v>1</v>
      </c>
    </row>
    <row r="1590" spans="1:13" x14ac:dyDescent="0.2">
      <c r="A1590" s="9">
        <v>44328</v>
      </c>
      <c r="B1590">
        <f t="shared" si="96"/>
        <v>12</v>
      </c>
      <c r="C1590">
        <f t="shared" si="97"/>
        <v>5</v>
      </c>
      <c r="D1590">
        <f t="shared" si="98"/>
        <v>2021</v>
      </c>
      <c r="E1590" s="11">
        <v>3.1309999999999998</v>
      </c>
      <c r="F1590" s="11">
        <v>101.54900000000001</v>
      </c>
      <c r="G1590" s="11">
        <v>27.4</v>
      </c>
      <c r="H1590" s="1" t="s">
        <v>0</v>
      </c>
      <c r="I1590">
        <v>0</v>
      </c>
      <c r="J1590" t="s">
        <v>6</v>
      </c>
      <c r="K1590">
        <v>26</v>
      </c>
      <c r="L1590">
        <v>28.2</v>
      </c>
      <c r="M1590">
        <f t="shared" si="99"/>
        <v>0</v>
      </c>
    </row>
    <row r="1591" spans="1:13" x14ac:dyDescent="0.2">
      <c r="A1591" s="9">
        <v>44329</v>
      </c>
      <c r="B1591">
        <f t="shared" si="96"/>
        <v>13</v>
      </c>
      <c r="C1591">
        <f t="shared" si="97"/>
        <v>5</v>
      </c>
      <c r="D1591">
        <f t="shared" si="98"/>
        <v>2021</v>
      </c>
      <c r="E1591" s="11">
        <v>3.1309999999999998</v>
      </c>
      <c r="F1591" s="11">
        <v>101.54900000000001</v>
      </c>
      <c r="G1591" s="11">
        <v>27.4</v>
      </c>
      <c r="H1591" s="1" t="s">
        <v>0</v>
      </c>
      <c r="I1591">
        <v>21.1</v>
      </c>
      <c r="J1591">
        <v>33.5</v>
      </c>
      <c r="K1591">
        <v>25.9</v>
      </c>
      <c r="L1591">
        <v>28.1</v>
      </c>
      <c r="M1591">
        <f t="shared" si="99"/>
        <v>1</v>
      </c>
    </row>
    <row r="1592" spans="1:13" x14ac:dyDescent="0.2">
      <c r="A1592" s="9">
        <v>44330</v>
      </c>
      <c r="B1592">
        <f t="shared" si="96"/>
        <v>14</v>
      </c>
      <c r="C1592">
        <f t="shared" si="97"/>
        <v>5</v>
      </c>
      <c r="D1592">
        <f t="shared" si="98"/>
        <v>2021</v>
      </c>
      <c r="E1592" s="11">
        <v>3.1309999999999998</v>
      </c>
      <c r="F1592" s="11">
        <v>101.54900000000001</v>
      </c>
      <c r="G1592" s="11">
        <v>27.4</v>
      </c>
      <c r="H1592" s="1" t="s">
        <v>0</v>
      </c>
      <c r="I1592">
        <v>11.7</v>
      </c>
      <c r="J1592" t="s">
        <v>6</v>
      </c>
      <c r="K1592" t="s">
        <v>6</v>
      </c>
      <c r="L1592">
        <v>28.1</v>
      </c>
      <c r="M1592">
        <f t="shared" si="99"/>
        <v>1</v>
      </c>
    </row>
    <row r="1593" spans="1:13" x14ac:dyDescent="0.2">
      <c r="A1593" s="9">
        <v>44331</v>
      </c>
      <c r="B1593">
        <f t="shared" si="96"/>
        <v>15</v>
      </c>
      <c r="C1593">
        <f t="shared" si="97"/>
        <v>5</v>
      </c>
      <c r="D1593">
        <f t="shared" si="98"/>
        <v>2021</v>
      </c>
      <c r="E1593" s="11">
        <v>3.1309999999999998</v>
      </c>
      <c r="F1593" s="11">
        <v>101.54900000000001</v>
      </c>
      <c r="G1593" s="11">
        <v>27.4</v>
      </c>
      <c r="H1593" s="1" t="s">
        <v>0</v>
      </c>
      <c r="I1593">
        <v>0.5</v>
      </c>
      <c r="J1593" t="s">
        <v>6</v>
      </c>
      <c r="K1593">
        <v>25</v>
      </c>
      <c r="L1593">
        <v>29.4</v>
      </c>
      <c r="M1593">
        <f t="shared" si="99"/>
        <v>1</v>
      </c>
    </row>
    <row r="1594" spans="1:13" x14ac:dyDescent="0.2">
      <c r="A1594" s="9">
        <v>44332</v>
      </c>
      <c r="B1594">
        <f t="shared" si="96"/>
        <v>16</v>
      </c>
      <c r="C1594">
        <f t="shared" si="97"/>
        <v>5</v>
      </c>
      <c r="D1594">
        <f t="shared" si="98"/>
        <v>2021</v>
      </c>
      <c r="E1594" s="11">
        <v>3.1309999999999998</v>
      </c>
      <c r="F1594" s="11">
        <v>101.54900000000001</v>
      </c>
      <c r="G1594" s="11">
        <v>27.4</v>
      </c>
      <c r="H1594" s="1" t="s">
        <v>0</v>
      </c>
      <c r="I1594">
        <v>0.5</v>
      </c>
      <c r="J1594" t="s">
        <v>6</v>
      </c>
      <c r="K1594" t="s">
        <v>6</v>
      </c>
      <c r="L1594">
        <v>28.1</v>
      </c>
      <c r="M1594">
        <f t="shared" si="99"/>
        <v>1</v>
      </c>
    </row>
    <row r="1595" spans="1:13" x14ac:dyDescent="0.2">
      <c r="A1595" s="9">
        <v>44333</v>
      </c>
      <c r="B1595">
        <f t="shared" si="96"/>
        <v>17</v>
      </c>
      <c r="C1595">
        <f t="shared" si="97"/>
        <v>5</v>
      </c>
      <c r="D1595">
        <f t="shared" si="98"/>
        <v>2021</v>
      </c>
      <c r="E1595" s="11">
        <v>3.1309999999999998</v>
      </c>
      <c r="F1595" s="11">
        <v>101.54900000000001</v>
      </c>
      <c r="G1595" s="11">
        <v>27.4</v>
      </c>
      <c r="H1595" s="1" t="s">
        <v>0</v>
      </c>
      <c r="I1595">
        <v>39.9</v>
      </c>
      <c r="J1595" t="s">
        <v>6</v>
      </c>
      <c r="K1595" t="s">
        <v>6</v>
      </c>
      <c r="L1595">
        <v>26.4</v>
      </c>
      <c r="M1595">
        <f t="shared" si="99"/>
        <v>1</v>
      </c>
    </row>
    <row r="1596" spans="1:13" x14ac:dyDescent="0.2">
      <c r="A1596" s="9">
        <v>44334</v>
      </c>
      <c r="B1596">
        <f t="shared" si="96"/>
        <v>18</v>
      </c>
      <c r="C1596">
        <f t="shared" si="97"/>
        <v>5</v>
      </c>
      <c r="D1596">
        <f t="shared" si="98"/>
        <v>2021</v>
      </c>
      <c r="E1596" s="11">
        <v>3.1309999999999998</v>
      </c>
      <c r="F1596" s="11">
        <v>101.54900000000001</v>
      </c>
      <c r="G1596" s="11">
        <v>27.4</v>
      </c>
      <c r="H1596" s="1" t="s">
        <v>0</v>
      </c>
      <c r="I1596">
        <v>53.1</v>
      </c>
      <c r="J1596" t="s">
        <v>6</v>
      </c>
      <c r="K1596" t="s">
        <v>6</v>
      </c>
      <c r="L1596">
        <v>25.7</v>
      </c>
      <c r="M1596">
        <f t="shared" si="99"/>
        <v>1</v>
      </c>
    </row>
    <row r="1597" spans="1:13" x14ac:dyDescent="0.2">
      <c r="A1597" s="9">
        <v>44335</v>
      </c>
      <c r="B1597">
        <f t="shared" si="96"/>
        <v>19</v>
      </c>
      <c r="C1597">
        <f t="shared" si="97"/>
        <v>5</v>
      </c>
      <c r="D1597">
        <f t="shared" si="98"/>
        <v>2021</v>
      </c>
      <c r="E1597" s="11">
        <v>3.1309999999999998</v>
      </c>
      <c r="F1597" s="11">
        <v>101.54900000000001</v>
      </c>
      <c r="G1597" s="11">
        <v>27.4</v>
      </c>
      <c r="H1597" s="1" t="s">
        <v>0</v>
      </c>
      <c r="I1597">
        <v>80</v>
      </c>
      <c r="J1597" t="s">
        <v>6</v>
      </c>
      <c r="K1597">
        <v>23.9</v>
      </c>
      <c r="L1597">
        <v>27.5</v>
      </c>
      <c r="M1597">
        <f t="shared" si="99"/>
        <v>1</v>
      </c>
    </row>
    <row r="1598" spans="1:13" x14ac:dyDescent="0.2">
      <c r="A1598" s="9">
        <v>44336</v>
      </c>
      <c r="B1598">
        <f t="shared" si="96"/>
        <v>20</v>
      </c>
      <c r="C1598">
        <f t="shared" si="97"/>
        <v>5</v>
      </c>
      <c r="D1598">
        <f t="shared" si="98"/>
        <v>2021</v>
      </c>
      <c r="E1598" s="11">
        <v>3.1309999999999998</v>
      </c>
      <c r="F1598" s="11">
        <v>101.54900000000001</v>
      </c>
      <c r="G1598" s="11">
        <v>27.4</v>
      </c>
      <c r="H1598" s="1" t="s">
        <v>0</v>
      </c>
      <c r="I1598">
        <v>0</v>
      </c>
      <c r="J1598" t="s">
        <v>6</v>
      </c>
      <c r="K1598">
        <v>25.2</v>
      </c>
      <c r="L1598">
        <v>28.9</v>
      </c>
      <c r="M1598">
        <f t="shared" si="99"/>
        <v>0</v>
      </c>
    </row>
    <row r="1599" spans="1:13" x14ac:dyDescent="0.2">
      <c r="A1599" s="9">
        <v>44337</v>
      </c>
      <c r="B1599">
        <f t="shared" si="96"/>
        <v>21</v>
      </c>
      <c r="C1599">
        <f t="shared" si="97"/>
        <v>5</v>
      </c>
      <c r="D1599">
        <f t="shared" si="98"/>
        <v>2021</v>
      </c>
      <c r="E1599" s="11">
        <v>3.1309999999999998</v>
      </c>
      <c r="F1599" s="11">
        <v>101.54900000000001</v>
      </c>
      <c r="G1599" s="11">
        <v>27.4</v>
      </c>
      <c r="H1599" s="1" t="s">
        <v>0</v>
      </c>
      <c r="I1599" t="s">
        <v>6</v>
      </c>
      <c r="J1599" t="s">
        <v>6</v>
      </c>
      <c r="K1599" t="s">
        <v>6</v>
      </c>
      <c r="L1599">
        <v>28.2</v>
      </c>
      <c r="M1599" t="str">
        <f t="shared" si="99"/>
        <v/>
      </c>
    </row>
    <row r="1600" spans="1:13" x14ac:dyDescent="0.2">
      <c r="A1600" s="9">
        <v>44338</v>
      </c>
      <c r="B1600">
        <f t="shared" si="96"/>
        <v>22</v>
      </c>
      <c r="C1600">
        <f t="shared" si="97"/>
        <v>5</v>
      </c>
      <c r="D1600">
        <f t="shared" si="98"/>
        <v>2021</v>
      </c>
      <c r="E1600" s="11">
        <v>3.1309999999999998</v>
      </c>
      <c r="F1600" s="11">
        <v>101.54900000000001</v>
      </c>
      <c r="G1600" s="11">
        <v>27.4</v>
      </c>
      <c r="H1600" s="1" t="s">
        <v>0</v>
      </c>
      <c r="I1600" t="s">
        <v>6</v>
      </c>
      <c r="J1600" t="s">
        <v>6</v>
      </c>
      <c r="K1600">
        <v>25.7</v>
      </c>
      <c r="L1600">
        <v>29</v>
      </c>
      <c r="M1600" t="str">
        <f t="shared" si="99"/>
        <v/>
      </c>
    </row>
    <row r="1601" spans="1:13" x14ac:dyDescent="0.2">
      <c r="A1601" s="9">
        <v>44339</v>
      </c>
      <c r="B1601">
        <f t="shared" si="96"/>
        <v>23</v>
      </c>
      <c r="C1601">
        <f t="shared" si="97"/>
        <v>5</v>
      </c>
      <c r="D1601">
        <f t="shared" si="98"/>
        <v>2021</v>
      </c>
      <c r="E1601" s="11">
        <v>3.1309999999999998</v>
      </c>
      <c r="F1601" s="11">
        <v>101.54900000000001</v>
      </c>
      <c r="G1601" s="11">
        <v>27.4</v>
      </c>
      <c r="H1601" s="1" t="s">
        <v>0</v>
      </c>
      <c r="I1601">
        <v>0</v>
      </c>
      <c r="J1601" t="s">
        <v>6</v>
      </c>
      <c r="K1601">
        <v>25.6</v>
      </c>
      <c r="L1601">
        <v>29.8</v>
      </c>
      <c r="M1601">
        <f t="shared" si="99"/>
        <v>0</v>
      </c>
    </row>
    <row r="1602" spans="1:13" x14ac:dyDescent="0.2">
      <c r="A1602" s="9">
        <v>44340</v>
      </c>
      <c r="B1602">
        <f t="shared" si="96"/>
        <v>24</v>
      </c>
      <c r="C1602">
        <f t="shared" si="97"/>
        <v>5</v>
      </c>
      <c r="D1602">
        <f t="shared" si="98"/>
        <v>2021</v>
      </c>
      <c r="E1602" s="11">
        <v>3.1309999999999998</v>
      </c>
      <c r="F1602" s="11">
        <v>101.54900000000001</v>
      </c>
      <c r="G1602" s="11">
        <v>27.4</v>
      </c>
      <c r="H1602" s="1" t="s">
        <v>0</v>
      </c>
      <c r="I1602" t="s">
        <v>6</v>
      </c>
      <c r="J1602" t="s">
        <v>6</v>
      </c>
      <c r="K1602">
        <v>26.4</v>
      </c>
      <c r="L1602">
        <v>29.4</v>
      </c>
      <c r="M1602" t="str">
        <f t="shared" si="99"/>
        <v/>
      </c>
    </row>
    <row r="1603" spans="1:13" x14ac:dyDescent="0.2">
      <c r="A1603" s="9">
        <v>44341</v>
      </c>
      <c r="B1603">
        <f t="shared" ref="B1603:B1666" si="100">DAY(A1603)</f>
        <v>25</v>
      </c>
      <c r="C1603">
        <f t="shared" ref="C1603:C1666" si="101">MONTH(A1603)</f>
        <v>5</v>
      </c>
      <c r="D1603">
        <f t="shared" ref="D1603:D1666" si="102">YEAR(A1603)</f>
        <v>2021</v>
      </c>
      <c r="E1603" s="11">
        <v>3.1309999999999998</v>
      </c>
      <c r="F1603" s="11">
        <v>101.54900000000001</v>
      </c>
      <c r="G1603" s="11">
        <v>27.4</v>
      </c>
      <c r="H1603" s="1" t="s">
        <v>0</v>
      </c>
      <c r="I1603" t="s">
        <v>6</v>
      </c>
      <c r="J1603" t="s">
        <v>6</v>
      </c>
      <c r="K1603" t="s">
        <v>6</v>
      </c>
      <c r="L1603">
        <v>29.1</v>
      </c>
      <c r="M1603" t="str">
        <f t="shared" ref="M1603:M1666" si="103">IF(ISNUMBER(I1603), IF(I1603&gt;0, 1, 0), "")</f>
        <v/>
      </c>
    </row>
    <row r="1604" spans="1:13" x14ac:dyDescent="0.2">
      <c r="A1604" s="9">
        <v>44342</v>
      </c>
      <c r="B1604">
        <f t="shared" si="100"/>
        <v>26</v>
      </c>
      <c r="C1604">
        <f t="shared" si="101"/>
        <v>5</v>
      </c>
      <c r="D1604">
        <f t="shared" si="102"/>
        <v>2021</v>
      </c>
      <c r="E1604" s="11">
        <v>3.1309999999999998</v>
      </c>
      <c r="F1604" s="11">
        <v>101.54900000000001</v>
      </c>
      <c r="G1604" s="11">
        <v>27.4</v>
      </c>
      <c r="H1604" s="1" t="s">
        <v>0</v>
      </c>
      <c r="I1604">
        <v>0</v>
      </c>
      <c r="J1604" t="s">
        <v>6</v>
      </c>
      <c r="K1604" t="s">
        <v>6</v>
      </c>
      <c r="L1604">
        <v>28.5</v>
      </c>
      <c r="M1604">
        <f t="shared" si="103"/>
        <v>0</v>
      </c>
    </row>
    <row r="1605" spans="1:13" x14ac:dyDescent="0.2">
      <c r="A1605" s="9">
        <v>44343</v>
      </c>
      <c r="B1605">
        <f t="shared" si="100"/>
        <v>27</v>
      </c>
      <c r="C1605">
        <f t="shared" si="101"/>
        <v>5</v>
      </c>
      <c r="D1605">
        <f t="shared" si="102"/>
        <v>2021</v>
      </c>
      <c r="E1605" s="11">
        <v>3.1309999999999998</v>
      </c>
      <c r="F1605" s="11">
        <v>101.54900000000001</v>
      </c>
      <c r="G1605" s="11">
        <v>27.4</v>
      </c>
      <c r="H1605" s="1" t="s">
        <v>0</v>
      </c>
      <c r="I1605">
        <v>3</v>
      </c>
      <c r="J1605">
        <v>30.9</v>
      </c>
      <c r="K1605" t="s">
        <v>6</v>
      </c>
      <c r="L1605">
        <v>25.7</v>
      </c>
      <c r="M1605">
        <f t="shared" si="103"/>
        <v>1</v>
      </c>
    </row>
    <row r="1606" spans="1:13" x14ac:dyDescent="0.2">
      <c r="A1606" s="9">
        <v>44344</v>
      </c>
      <c r="B1606">
        <f t="shared" si="100"/>
        <v>28</v>
      </c>
      <c r="C1606">
        <f t="shared" si="101"/>
        <v>5</v>
      </c>
      <c r="D1606">
        <f t="shared" si="102"/>
        <v>2021</v>
      </c>
      <c r="E1606" s="11">
        <v>3.1309999999999998</v>
      </c>
      <c r="F1606" s="11">
        <v>101.54900000000001</v>
      </c>
      <c r="G1606" s="11">
        <v>27.4</v>
      </c>
      <c r="H1606" s="1" t="s">
        <v>0</v>
      </c>
      <c r="I1606">
        <v>20.100000000000001</v>
      </c>
      <c r="J1606" t="s">
        <v>6</v>
      </c>
      <c r="K1606">
        <v>23.9</v>
      </c>
      <c r="L1606">
        <v>29.1</v>
      </c>
      <c r="M1606">
        <f t="shared" si="103"/>
        <v>1</v>
      </c>
    </row>
    <row r="1607" spans="1:13" x14ac:dyDescent="0.2">
      <c r="A1607" s="9">
        <v>44345</v>
      </c>
      <c r="B1607">
        <f t="shared" si="100"/>
        <v>29</v>
      </c>
      <c r="C1607">
        <f t="shared" si="101"/>
        <v>5</v>
      </c>
      <c r="D1607">
        <f t="shared" si="102"/>
        <v>2021</v>
      </c>
      <c r="E1607" s="11">
        <v>3.1309999999999998</v>
      </c>
      <c r="F1607" s="11">
        <v>101.54900000000001</v>
      </c>
      <c r="G1607" s="11">
        <v>27.4</v>
      </c>
      <c r="H1607" s="1" t="s">
        <v>0</v>
      </c>
      <c r="I1607">
        <v>0</v>
      </c>
      <c r="J1607" t="s">
        <v>6</v>
      </c>
      <c r="K1607">
        <v>25.2</v>
      </c>
      <c r="L1607">
        <v>29.5</v>
      </c>
      <c r="M1607">
        <f t="shared" si="103"/>
        <v>0</v>
      </c>
    </row>
    <row r="1608" spans="1:13" x14ac:dyDescent="0.2">
      <c r="A1608" s="9">
        <v>44346</v>
      </c>
      <c r="B1608">
        <f t="shared" si="100"/>
        <v>30</v>
      </c>
      <c r="C1608">
        <f t="shared" si="101"/>
        <v>5</v>
      </c>
      <c r="D1608">
        <f t="shared" si="102"/>
        <v>2021</v>
      </c>
      <c r="E1608" s="11">
        <v>3.1309999999999998</v>
      </c>
      <c r="F1608" s="11">
        <v>101.54900000000001</v>
      </c>
      <c r="G1608" s="11">
        <v>27.4</v>
      </c>
      <c r="H1608" s="1" t="s">
        <v>0</v>
      </c>
      <c r="I1608" t="s">
        <v>6</v>
      </c>
      <c r="J1608">
        <v>34.200000000000003</v>
      </c>
      <c r="K1608">
        <v>25.9</v>
      </c>
      <c r="L1608">
        <v>30</v>
      </c>
      <c r="M1608" t="str">
        <f t="shared" si="103"/>
        <v/>
      </c>
    </row>
    <row r="1609" spans="1:13" x14ac:dyDescent="0.2">
      <c r="A1609" s="9">
        <v>44347</v>
      </c>
      <c r="B1609">
        <f t="shared" si="100"/>
        <v>31</v>
      </c>
      <c r="C1609">
        <f t="shared" si="101"/>
        <v>5</v>
      </c>
      <c r="D1609">
        <f t="shared" si="102"/>
        <v>2021</v>
      </c>
      <c r="E1609" s="11">
        <v>3.1309999999999998</v>
      </c>
      <c r="F1609" s="11">
        <v>101.54900000000001</v>
      </c>
      <c r="G1609" s="11">
        <v>27.4</v>
      </c>
      <c r="H1609" s="1" t="s">
        <v>0</v>
      </c>
      <c r="I1609" t="s">
        <v>6</v>
      </c>
      <c r="J1609" t="s">
        <v>6</v>
      </c>
      <c r="K1609">
        <v>26.9</v>
      </c>
      <c r="L1609">
        <v>29.9</v>
      </c>
      <c r="M1609" t="str">
        <f t="shared" si="103"/>
        <v/>
      </c>
    </row>
    <row r="1610" spans="1:13" x14ac:dyDescent="0.2">
      <c r="A1610" s="9">
        <v>44348</v>
      </c>
      <c r="B1610">
        <f t="shared" si="100"/>
        <v>1</v>
      </c>
      <c r="C1610">
        <f t="shared" si="101"/>
        <v>6</v>
      </c>
      <c r="D1610">
        <f t="shared" si="102"/>
        <v>2021</v>
      </c>
      <c r="E1610" s="11">
        <v>3.1309999999999998</v>
      </c>
      <c r="F1610" s="11">
        <v>101.54900000000001</v>
      </c>
      <c r="G1610" s="11">
        <v>27.4</v>
      </c>
      <c r="H1610" s="1" t="s">
        <v>0</v>
      </c>
      <c r="I1610" t="s">
        <v>6</v>
      </c>
      <c r="J1610" t="s">
        <v>6</v>
      </c>
      <c r="K1610" t="s">
        <v>6</v>
      </c>
      <c r="L1610">
        <v>29.8</v>
      </c>
      <c r="M1610" t="str">
        <f t="shared" si="103"/>
        <v/>
      </c>
    </row>
    <row r="1611" spans="1:13" x14ac:dyDescent="0.2">
      <c r="A1611" s="9">
        <v>44349</v>
      </c>
      <c r="B1611">
        <f t="shared" si="100"/>
        <v>2</v>
      </c>
      <c r="C1611">
        <f t="shared" si="101"/>
        <v>6</v>
      </c>
      <c r="D1611">
        <f t="shared" si="102"/>
        <v>2021</v>
      </c>
      <c r="E1611" s="11">
        <v>3.1309999999999998</v>
      </c>
      <c r="F1611" s="11">
        <v>101.54900000000001</v>
      </c>
      <c r="G1611" s="11">
        <v>27.4</v>
      </c>
      <c r="H1611" s="1" t="s">
        <v>0</v>
      </c>
      <c r="I1611" t="s">
        <v>6</v>
      </c>
      <c r="J1611" t="s">
        <v>6</v>
      </c>
      <c r="K1611" t="s">
        <v>6</v>
      </c>
      <c r="L1611">
        <v>29.8</v>
      </c>
      <c r="M1611" t="str">
        <f t="shared" si="103"/>
        <v/>
      </c>
    </row>
    <row r="1612" spans="1:13" x14ac:dyDescent="0.2">
      <c r="A1612" s="9">
        <v>44350</v>
      </c>
      <c r="B1612">
        <f t="shared" si="100"/>
        <v>3</v>
      </c>
      <c r="C1612">
        <f t="shared" si="101"/>
        <v>6</v>
      </c>
      <c r="D1612">
        <f t="shared" si="102"/>
        <v>2021</v>
      </c>
      <c r="E1612" s="11">
        <v>3.1309999999999998</v>
      </c>
      <c r="F1612" s="11">
        <v>101.54900000000001</v>
      </c>
      <c r="G1612" s="11">
        <v>27.4</v>
      </c>
      <c r="H1612" s="1" t="s">
        <v>0</v>
      </c>
      <c r="I1612" t="s">
        <v>6</v>
      </c>
      <c r="J1612" t="s">
        <v>6</v>
      </c>
      <c r="K1612" t="s">
        <v>6</v>
      </c>
      <c r="L1612">
        <v>29.1</v>
      </c>
      <c r="M1612" t="str">
        <f t="shared" si="103"/>
        <v/>
      </c>
    </row>
    <row r="1613" spans="1:13" x14ac:dyDescent="0.2">
      <c r="A1613" s="9">
        <v>44351</v>
      </c>
      <c r="B1613">
        <f t="shared" si="100"/>
        <v>4</v>
      </c>
      <c r="C1613">
        <f t="shared" si="101"/>
        <v>6</v>
      </c>
      <c r="D1613">
        <f t="shared" si="102"/>
        <v>2021</v>
      </c>
      <c r="E1613" s="11">
        <v>3.1309999999999998</v>
      </c>
      <c r="F1613" s="11">
        <v>101.54900000000001</v>
      </c>
      <c r="G1613" s="11">
        <v>27.4</v>
      </c>
      <c r="H1613" s="1" t="s">
        <v>0</v>
      </c>
      <c r="I1613" t="s">
        <v>6</v>
      </c>
      <c r="J1613" t="s">
        <v>6</v>
      </c>
      <c r="K1613" t="s">
        <v>6</v>
      </c>
      <c r="L1613">
        <v>29.2</v>
      </c>
      <c r="M1613" t="str">
        <f t="shared" si="103"/>
        <v/>
      </c>
    </row>
    <row r="1614" spans="1:13" x14ac:dyDescent="0.2">
      <c r="A1614" s="9">
        <v>44352</v>
      </c>
      <c r="B1614">
        <f t="shared" si="100"/>
        <v>5</v>
      </c>
      <c r="C1614">
        <f t="shared" si="101"/>
        <v>6</v>
      </c>
      <c r="D1614">
        <f t="shared" si="102"/>
        <v>2021</v>
      </c>
      <c r="E1614" s="11">
        <v>3.1309999999999998</v>
      </c>
      <c r="F1614" s="11">
        <v>101.54900000000001</v>
      </c>
      <c r="G1614" s="11">
        <v>27.4</v>
      </c>
      <c r="H1614" s="1" t="s">
        <v>0</v>
      </c>
      <c r="I1614" t="s">
        <v>6</v>
      </c>
      <c r="J1614" t="s">
        <v>6</v>
      </c>
      <c r="K1614" t="s">
        <v>6</v>
      </c>
      <c r="L1614">
        <v>28.4</v>
      </c>
      <c r="M1614" t="str">
        <f t="shared" si="103"/>
        <v/>
      </c>
    </row>
    <row r="1615" spans="1:13" x14ac:dyDescent="0.2">
      <c r="A1615" s="9">
        <v>44353</v>
      </c>
      <c r="B1615">
        <f t="shared" si="100"/>
        <v>6</v>
      </c>
      <c r="C1615">
        <f t="shared" si="101"/>
        <v>6</v>
      </c>
      <c r="D1615">
        <f t="shared" si="102"/>
        <v>2021</v>
      </c>
      <c r="E1615" s="11">
        <v>3.1309999999999998</v>
      </c>
      <c r="F1615" s="11">
        <v>101.54900000000001</v>
      </c>
      <c r="G1615" s="11">
        <v>27.4</v>
      </c>
      <c r="H1615" s="1" t="s">
        <v>0</v>
      </c>
      <c r="I1615" t="s">
        <v>6</v>
      </c>
      <c r="J1615" t="s">
        <v>6</v>
      </c>
      <c r="K1615">
        <v>24.4</v>
      </c>
      <c r="L1615">
        <v>28.7</v>
      </c>
      <c r="M1615" t="str">
        <f t="shared" si="103"/>
        <v/>
      </c>
    </row>
    <row r="1616" spans="1:13" x14ac:dyDescent="0.2">
      <c r="A1616" s="9">
        <v>44354</v>
      </c>
      <c r="B1616">
        <f t="shared" si="100"/>
        <v>7</v>
      </c>
      <c r="C1616">
        <f t="shared" si="101"/>
        <v>6</v>
      </c>
      <c r="D1616">
        <f t="shared" si="102"/>
        <v>2021</v>
      </c>
      <c r="E1616" s="11">
        <v>3.1309999999999998</v>
      </c>
      <c r="F1616" s="11">
        <v>101.54900000000001</v>
      </c>
      <c r="G1616" s="11">
        <v>27.4</v>
      </c>
      <c r="H1616" s="1" t="s">
        <v>0</v>
      </c>
      <c r="I1616">
        <v>0</v>
      </c>
      <c r="J1616" t="s">
        <v>6</v>
      </c>
      <c r="K1616">
        <v>24.5</v>
      </c>
      <c r="L1616">
        <v>27.5</v>
      </c>
      <c r="M1616">
        <f t="shared" si="103"/>
        <v>0</v>
      </c>
    </row>
    <row r="1617" spans="1:13" x14ac:dyDescent="0.2">
      <c r="A1617" s="9">
        <v>44355</v>
      </c>
      <c r="B1617">
        <f t="shared" si="100"/>
        <v>8</v>
      </c>
      <c r="C1617">
        <f t="shared" si="101"/>
        <v>6</v>
      </c>
      <c r="D1617">
        <f t="shared" si="102"/>
        <v>2021</v>
      </c>
      <c r="E1617" s="11">
        <v>3.1309999999999998</v>
      </c>
      <c r="F1617" s="11">
        <v>101.54900000000001</v>
      </c>
      <c r="G1617" s="11">
        <v>27.4</v>
      </c>
      <c r="H1617" s="1" t="s">
        <v>0</v>
      </c>
      <c r="I1617">
        <v>12.7</v>
      </c>
      <c r="J1617" t="s">
        <v>6</v>
      </c>
      <c r="K1617">
        <v>25</v>
      </c>
      <c r="L1617">
        <v>29.4</v>
      </c>
      <c r="M1617">
        <f t="shared" si="103"/>
        <v>1</v>
      </c>
    </row>
    <row r="1618" spans="1:13" x14ac:dyDescent="0.2">
      <c r="A1618" s="9">
        <v>44356</v>
      </c>
      <c r="B1618">
        <f t="shared" si="100"/>
        <v>9</v>
      </c>
      <c r="C1618">
        <f t="shared" si="101"/>
        <v>6</v>
      </c>
      <c r="D1618">
        <f t="shared" si="102"/>
        <v>2021</v>
      </c>
      <c r="E1618" s="11">
        <v>3.1309999999999998</v>
      </c>
      <c r="F1618" s="11">
        <v>101.54900000000001</v>
      </c>
      <c r="G1618" s="11">
        <v>27.4</v>
      </c>
      <c r="H1618" s="1" t="s">
        <v>0</v>
      </c>
      <c r="I1618">
        <v>0</v>
      </c>
      <c r="J1618" t="s">
        <v>6</v>
      </c>
      <c r="K1618" t="s">
        <v>6</v>
      </c>
      <c r="L1618">
        <v>27.8</v>
      </c>
      <c r="M1618">
        <f t="shared" si="103"/>
        <v>0</v>
      </c>
    </row>
    <row r="1619" spans="1:13" x14ac:dyDescent="0.2">
      <c r="A1619" s="9">
        <v>44357</v>
      </c>
      <c r="B1619">
        <f t="shared" si="100"/>
        <v>10</v>
      </c>
      <c r="C1619">
        <f t="shared" si="101"/>
        <v>6</v>
      </c>
      <c r="D1619">
        <f t="shared" si="102"/>
        <v>2021</v>
      </c>
      <c r="E1619" s="11">
        <v>3.1309999999999998</v>
      </c>
      <c r="F1619" s="11">
        <v>101.54900000000001</v>
      </c>
      <c r="G1619" s="11">
        <v>27.4</v>
      </c>
      <c r="H1619" s="1" t="s">
        <v>0</v>
      </c>
      <c r="I1619" t="s">
        <v>6</v>
      </c>
      <c r="J1619" t="s">
        <v>6</v>
      </c>
      <c r="K1619" t="s">
        <v>6</v>
      </c>
      <c r="L1619">
        <v>27.3</v>
      </c>
      <c r="M1619" t="str">
        <f t="shared" si="103"/>
        <v/>
      </c>
    </row>
    <row r="1620" spans="1:13" x14ac:dyDescent="0.2">
      <c r="A1620" s="9">
        <v>44358</v>
      </c>
      <c r="B1620">
        <f t="shared" si="100"/>
        <v>11</v>
      </c>
      <c r="C1620">
        <f t="shared" si="101"/>
        <v>6</v>
      </c>
      <c r="D1620">
        <f t="shared" si="102"/>
        <v>2021</v>
      </c>
      <c r="E1620" s="11">
        <v>3.1309999999999998</v>
      </c>
      <c r="F1620" s="11">
        <v>101.54900000000001</v>
      </c>
      <c r="G1620" s="11">
        <v>27.4</v>
      </c>
      <c r="H1620" s="1" t="s">
        <v>0</v>
      </c>
      <c r="I1620">
        <v>0</v>
      </c>
      <c r="J1620" t="s">
        <v>6</v>
      </c>
      <c r="K1620">
        <v>24.9</v>
      </c>
      <c r="L1620">
        <v>28.4</v>
      </c>
      <c r="M1620">
        <f t="shared" si="103"/>
        <v>0</v>
      </c>
    </row>
    <row r="1621" spans="1:13" x14ac:dyDescent="0.2">
      <c r="A1621" s="9">
        <v>44359</v>
      </c>
      <c r="B1621">
        <f t="shared" si="100"/>
        <v>12</v>
      </c>
      <c r="C1621">
        <f t="shared" si="101"/>
        <v>6</v>
      </c>
      <c r="D1621">
        <f t="shared" si="102"/>
        <v>2021</v>
      </c>
      <c r="E1621" s="11">
        <v>3.1309999999999998</v>
      </c>
      <c r="F1621" s="11">
        <v>101.54900000000001</v>
      </c>
      <c r="G1621" s="11">
        <v>27.4</v>
      </c>
      <c r="H1621" s="1" t="s">
        <v>0</v>
      </c>
      <c r="I1621">
        <v>0</v>
      </c>
      <c r="J1621" t="s">
        <v>6</v>
      </c>
      <c r="K1621" t="s">
        <v>6</v>
      </c>
      <c r="L1621">
        <v>26.9</v>
      </c>
      <c r="M1621">
        <f t="shared" si="103"/>
        <v>0</v>
      </c>
    </row>
    <row r="1622" spans="1:13" x14ac:dyDescent="0.2">
      <c r="A1622" s="9">
        <v>44360</v>
      </c>
      <c r="B1622">
        <f t="shared" si="100"/>
        <v>13</v>
      </c>
      <c r="C1622">
        <f t="shared" si="101"/>
        <v>6</v>
      </c>
      <c r="D1622">
        <f t="shared" si="102"/>
        <v>2021</v>
      </c>
      <c r="E1622" s="11">
        <v>3.1309999999999998</v>
      </c>
      <c r="F1622" s="11">
        <v>101.54900000000001</v>
      </c>
      <c r="G1622" s="11">
        <v>27.4</v>
      </c>
      <c r="H1622" s="1" t="s">
        <v>0</v>
      </c>
      <c r="I1622">
        <v>14</v>
      </c>
      <c r="J1622">
        <v>32.799999999999997</v>
      </c>
      <c r="K1622">
        <v>25</v>
      </c>
      <c r="L1622">
        <v>28</v>
      </c>
      <c r="M1622">
        <f t="shared" si="103"/>
        <v>1</v>
      </c>
    </row>
    <row r="1623" spans="1:13" x14ac:dyDescent="0.2">
      <c r="A1623" s="9">
        <v>44361</v>
      </c>
      <c r="B1623">
        <f t="shared" si="100"/>
        <v>14</v>
      </c>
      <c r="C1623">
        <f t="shared" si="101"/>
        <v>6</v>
      </c>
      <c r="D1623">
        <f t="shared" si="102"/>
        <v>2021</v>
      </c>
      <c r="E1623" s="11">
        <v>3.1309999999999998</v>
      </c>
      <c r="F1623" s="11">
        <v>101.54900000000001</v>
      </c>
      <c r="G1623" s="11">
        <v>27.4</v>
      </c>
      <c r="H1623" s="1" t="s">
        <v>0</v>
      </c>
      <c r="I1623">
        <v>0</v>
      </c>
      <c r="J1623" t="s">
        <v>6</v>
      </c>
      <c r="K1623">
        <v>24.7</v>
      </c>
      <c r="L1623">
        <v>28.1</v>
      </c>
      <c r="M1623">
        <f t="shared" si="103"/>
        <v>0</v>
      </c>
    </row>
    <row r="1624" spans="1:13" x14ac:dyDescent="0.2">
      <c r="A1624" s="9">
        <v>44362</v>
      </c>
      <c r="B1624">
        <f t="shared" si="100"/>
        <v>15</v>
      </c>
      <c r="C1624">
        <f t="shared" si="101"/>
        <v>6</v>
      </c>
      <c r="D1624">
        <f t="shared" si="102"/>
        <v>2021</v>
      </c>
      <c r="E1624" s="11">
        <v>3.1309999999999998</v>
      </c>
      <c r="F1624" s="11">
        <v>101.54900000000001</v>
      </c>
      <c r="G1624" s="11">
        <v>27.4</v>
      </c>
      <c r="H1624" s="1" t="s">
        <v>0</v>
      </c>
      <c r="I1624" t="s">
        <v>6</v>
      </c>
      <c r="J1624" t="s">
        <v>6</v>
      </c>
      <c r="K1624">
        <v>25</v>
      </c>
      <c r="L1624">
        <v>28.3</v>
      </c>
      <c r="M1624" t="str">
        <f t="shared" si="103"/>
        <v/>
      </c>
    </row>
    <row r="1625" spans="1:13" x14ac:dyDescent="0.2">
      <c r="A1625" s="9">
        <v>44363</v>
      </c>
      <c r="B1625">
        <f t="shared" si="100"/>
        <v>16</v>
      </c>
      <c r="C1625">
        <f t="shared" si="101"/>
        <v>6</v>
      </c>
      <c r="D1625">
        <f t="shared" si="102"/>
        <v>2021</v>
      </c>
      <c r="E1625" s="11">
        <v>3.1309999999999998</v>
      </c>
      <c r="F1625" s="11">
        <v>101.54900000000001</v>
      </c>
      <c r="G1625" s="11">
        <v>27.4</v>
      </c>
      <c r="H1625" s="1" t="s">
        <v>0</v>
      </c>
      <c r="I1625" t="s">
        <v>6</v>
      </c>
      <c r="J1625" t="s">
        <v>6</v>
      </c>
      <c r="K1625" t="s">
        <v>6</v>
      </c>
      <c r="L1625">
        <v>27.3</v>
      </c>
      <c r="M1625" t="str">
        <f t="shared" si="103"/>
        <v/>
      </c>
    </row>
    <row r="1626" spans="1:13" x14ac:dyDescent="0.2">
      <c r="A1626" s="9">
        <v>44364</v>
      </c>
      <c r="B1626">
        <f t="shared" si="100"/>
        <v>17</v>
      </c>
      <c r="C1626">
        <f t="shared" si="101"/>
        <v>6</v>
      </c>
      <c r="D1626">
        <f t="shared" si="102"/>
        <v>2021</v>
      </c>
      <c r="E1626" s="11">
        <v>3.1309999999999998</v>
      </c>
      <c r="F1626" s="11">
        <v>101.54900000000001</v>
      </c>
      <c r="G1626" s="11">
        <v>27.4</v>
      </c>
      <c r="H1626" s="1" t="s">
        <v>0</v>
      </c>
      <c r="I1626" t="s">
        <v>6</v>
      </c>
      <c r="J1626" t="s">
        <v>6</v>
      </c>
      <c r="K1626">
        <v>23.8</v>
      </c>
      <c r="L1626">
        <v>26.9</v>
      </c>
      <c r="M1626" t="str">
        <f t="shared" si="103"/>
        <v/>
      </c>
    </row>
    <row r="1627" spans="1:13" x14ac:dyDescent="0.2">
      <c r="A1627" s="9">
        <v>44365</v>
      </c>
      <c r="B1627">
        <f t="shared" si="100"/>
        <v>18</v>
      </c>
      <c r="C1627">
        <f t="shared" si="101"/>
        <v>6</v>
      </c>
      <c r="D1627">
        <f t="shared" si="102"/>
        <v>2021</v>
      </c>
      <c r="E1627" s="11">
        <v>3.1309999999999998</v>
      </c>
      <c r="F1627" s="11">
        <v>101.54900000000001</v>
      </c>
      <c r="G1627" s="11">
        <v>27.4</v>
      </c>
      <c r="H1627" s="1" t="s">
        <v>0</v>
      </c>
      <c r="I1627" t="s">
        <v>6</v>
      </c>
      <c r="J1627" t="s">
        <v>6</v>
      </c>
      <c r="K1627">
        <v>23.9</v>
      </c>
      <c r="L1627">
        <v>28.3</v>
      </c>
      <c r="M1627" t="str">
        <f t="shared" si="103"/>
        <v/>
      </c>
    </row>
    <row r="1628" spans="1:13" x14ac:dyDescent="0.2">
      <c r="A1628" s="9">
        <v>44366</v>
      </c>
      <c r="B1628">
        <f t="shared" si="100"/>
        <v>19</v>
      </c>
      <c r="C1628">
        <f t="shared" si="101"/>
        <v>6</v>
      </c>
      <c r="D1628">
        <f t="shared" si="102"/>
        <v>2021</v>
      </c>
      <c r="E1628" s="11">
        <v>3.1309999999999998</v>
      </c>
      <c r="F1628" s="11">
        <v>101.54900000000001</v>
      </c>
      <c r="G1628" s="11">
        <v>27.4</v>
      </c>
      <c r="H1628" s="1" t="s">
        <v>0</v>
      </c>
      <c r="I1628" t="s">
        <v>6</v>
      </c>
      <c r="J1628" t="s">
        <v>6</v>
      </c>
      <c r="K1628" t="s">
        <v>6</v>
      </c>
      <c r="L1628">
        <v>27.2</v>
      </c>
      <c r="M1628" t="str">
        <f t="shared" si="103"/>
        <v/>
      </c>
    </row>
    <row r="1629" spans="1:13" x14ac:dyDescent="0.2">
      <c r="A1629" s="9">
        <v>44367</v>
      </c>
      <c r="B1629">
        <f t="shared" si="100"/>
        <v>20</v>
      </c>
      <c r="C1629">
        <f t="shared" si="101"/>
        <v>6</v>
      </c>
      <c r="D1629">
        <f t="shared" si="102"/>
        <v>2021</v>
      </c>
      <c r="E1629" s="11">
        <v>3.1309999999999998</v>
      </c>
      <c r="F1629" s="11">
        <v>101.54900000000001</v>
      </c>
      <c r="G1629" s="11">
        <v>27.4</v>
      </c>
      <c r="H1629" s="1" t="s">
        <v>0</v>
      </c>
      <c r="I1629" t="s">
        <v>6</v>
      </c>
      <c r="J1629">
        <v>30.7</v>
      </c>
      <c r="K1629" t="s">
        <v>6</v>
      </c>
      <c r="L1629">
        <v>25.6</v>
      </c>
      <c r="M1629" t="str">
        <f t="shared" si="103"/>
        <v/>
      </c>
    </row>
    <row r="1630" spans="1:13" x14ac:dyDescent="0.2">
      <c r="A1630" s="9">
        <v>44368</v>
      </c>
      <c r="B1630">
        <f t="shared" si="100"/>
        <v>21</v>
      </c>
      <c r="C1630">
        <f t="shared" si="101"/>
        <v>6</v>
      </c>
      <c r="D1630">
        <f t="shared" si="102"/>
        <v>2021</v>
      </c>
      <c r="E1630" s="11">
        <v>3.1309999999999998</v>
      </c>
      <c r="F1630" s="11">
        <v>101.54900000000001</v>
      </c>
      <c r="G1630" s="11">
        <v>27.4</v>
      </c>
      <c r="H1630" s="1" t="s">
        <v>0</v>
      </c>
      <c r="I1630" t="s">
        <v>6</v>
      </c>
      <c r="J1630">
        <v>33.700000000000003</v>
      </c>
      <c r="K1630">
        <v>23.4</v>
      </c>
      <c r="L1630">
        <v>28.3</v>
      </c>
      <c r="M1630" t="str">
        <f t="shared" si="103"/>
        <v/>
      </c>
    </row>
    <row r="1631" spans="1:13" x14ac:dyDescent="0.2">
      <c r="A1631" s="9">
        <v>44369</v>
      </c>
      <c r="B1631">
        <f t="shared" si="100"/>
        <v>22</v>
      </c>
      <c r="C1631">
        <f t="shared" si="101"/>
        <v>6</v>
      </c>
      <c r="D1631">
        <f t="shared" si="102"/>
        <v>2021</v>
      </c>
      <c r="E1631" s="11">
        <v>3.1309999999999998</v>
      </c>
      <c r="F1631" s="11">
        <v>101.54900000000001</v>
      </c>
      <c r="G1631" s="11">
        <v>27.4</v>
      </c>
      <c r="H1631" s="1" t="s">
        <v>0</v>
      </c>
      <c r="I1631">
        <v>9.6999999999999993</v>
      </c>
      <c r="J1631" t="s">
        <v>6</v>
      </c>
      <c r="K1631">
        <v>23.4</v>
      </c>
      <c r="L1631">
        <v>28.9</v>
      </c>
      <c r="M1631">
        <f t="shared" si="103"/>
        <v>1</v>
      </c>
    </row>
    <row r="1632" spans="1:13" x14ac:dyDescent="0.2">
      <c r="A1632" s="9">
        <v>44370</v>
      </c>
      <c r="B1632">
        <f t="shared" si="100"/>
        <v>23</v>
      </c>
      <c r="C1632">
        <f t="shared" si="101"/>
        <v>6</v>
      </c>
      <c r="D1632">
        <f t="shared" si="102"/>
        <v>2021</v>
      </c>
      <c r="E1632" s="11">
        <v>3.1309999999999998</v>
      </c>
      <c r="F1632" s="11">
        <v>101.54900000000001</v>
      </c>
      <c r="G1632" s="11">
        <v>27.4</v>
      </c>
      <c r="H1632" s="1" t="s">
        <v>0</v>
      </c>
      <c r="I1632">
        <v>0</v>
      </c>
      <c r="J1632" t="s">
        <v>6</v>
      </c>
      <c r="K1632">
        <v>24.4</v>
      </c>
      <c r="L1632">
        <v>29.1</v>
      </c>
      <c r="M1632">
        <f t="shared" si="103"/>
        <v>0</v>
      </c>
    </row>
    <row r="1633" spans="1:13" x14ac:dyDescent="0.2">
      <c r="A1633" s="9">
        <v>44371</v>
      </c>
      <c r="B1633">
        <f t="shared" si="100"/>
        <v>24</v>
      </c>
      <c r="C1633">
        <f t="shared" si="101"/>
        <v>6</v>
      </c>
      <c r="D1633">
        <f t="shared" si="102"/>
        <v>2021</v>
      </c>
      <c r="E1633" s="11">
        <v>3.1309999999999998</v>
      </c>
      <c r="F1633" s="11">
        <v>101.54900000000001</v>
      </c>
      <c r="G1633" s="11">
        <v>27.4</v>
      </c>
      <c r="H1633" s="1" t="s">
        <v>0</v>
      </c>
      <c r="I1633">
        <v>0</v>
      </c>
      <c r="J1633" t="s">
        <v>6</v>
      </c>
      <c r="K1633">
        <v>25.7</v>
      </c>
      <c r="L1633">
        <v>30</v>
      </c>
      <c r="M1633">
        <f t="shared" si="103"/>
        <v>0</v>
      </c>
    </row>
    <row r="1634" spans="1:13" x14ac:dyDescent="0.2">
      <c r="A1634" s="9">
        <v>44372</v>
      </c>
      <c r="B1634">
        <f t="shared" si="100"/>
        <v>25</v>
      </c>
      <c r="C1634">
        <f t="shared" si="101"/>
        <v>6</v>
      </c>
      <c r="D1634">
        <f t="shared" si="102"/>
        <v>2021</v>
      </c>
      <c r="E1634" s="11">
        <v>3.1309999999999998</v>
      </c>
      <c r="F1634" s="11">
        <v>101.54900000000001</v>
      </c>
      <c r="G1634" s="11">
        <v>27.4</v>
      </c>
      <c r="H1634" s="1" t="s">
        <v>0</v>
      </c>
      <c r="I1634">
        <v>0</v>
      </c>
      <c r="J1634">
        <v>34.299999999999997</v>
      </c>
      <c r="K1634" t="s">
        <v>6</v>
      </c>
      <c r="L1634">
        <v>28.8</v>
      </c>
      <c r="M1634">
        <f t="shared" si="103"/>
        <v>0</v>
      </c>
    </row>
    <row r="1635" spans="1:13" x14ac:dyDescent="0.2">
      <c r="A1635" s="9">
        <v>44373</v>
      </c>
      <c r="B1635">
        <f t="shared" si="100"/>
        <v>26</v>
      </c>
      <c r="C1635">
        <f t="shared" si="101"/>
        <v>6</v>
      </c>
      <c r="D1635">
        <f t="shared" si="102"/>
        <v>2021</v>
      </c>
      <c r="E1635" s="11">
        <v>3.1309999999999998</v>
      </c>
      <c r="F1635" s="11">
        <v>101.54900000000001</v>
      </c>
      <c r="G1635" s="11">
        <v>27.4</v>
      </c>
      <c r="H1635" s="1" t="s">
        <v>0</v>
      </c>
      <c r="I1635">
        <v>0</v>
      </c>
      <c r="J1635" t="s">
        <v>6</v>
      </c>
      <c r="K1635" t="s">
        <v>6</v>
      </c>
      <c r="L1635">
        <v>27.2</v>
      </c>
      <c r="M1635">
        <f t="shared" si="103"/>
        <v>0</v>
      </c>
    </row>
    <row r="1636" spans="1:13" x14ac:dyDescent="0.2">
      <c r="A1636" s="9">
        <v>44374</v>
      </c>
      <c r="B1636">
        <f t="shared" si="100"/>
        <v>27</v>
      </c>
      <c r="C1636">
        <f t="shared" si="101"/>
        <v>6</v>
      </c>
      <c r="D1636">
        <f t="shared" si="102"/>
        <v>2021</v>
      </c>
      <c r="E1636" s="11">
        <v>3.1309999999999998</v>
      </c>
      <c r="F1636" s="11">
        <v>101.54900000000001</v>
      </c>
      <c r="G1636" s="11">
        <v>27.4</v>
      </c>
      <c r="H1636" s="1" t="s">
        <v>0</v>
      </c>
      <c r="I1636">
        <v>14.2</v>
      </c>
      <c r="J1636" t="s">
        <v>6</v>
      </c>
      <c r="K1636" t="s">
        <v>6</v>
      </c>
      <c r="L1636">
        <v>26.1</v>
      </c>
      <c r="M1636">
        <f t="shared" si="103"/>
        <v>1</v>
      </c>
    </row>
    <row r="1637" spans="1:13" x14ac:dyDescent="0.2">
      <c r="A1637" s="9">
        <v>44375</v>
      </c>
      <c r="B1637">
        <f t="shared" si="100"/>
        <v>28</v>
      </c>
      <c r="C1637">
        <f t="shared" si="101"/>
        <v>6</v>
      </c>
      <c r="D1637">
        <f t="shared" si="102"/>
        <v>2021</v>
      </c>
      <c r="E1637" s="11">
        <v>3.1309999999999998</v>
      </c>
      <c r="F1637" s="11">
        <v>101.54900000000001</v>
      </c>
      <c r="G1637" s="11">
        <v>27.4</v>
      </c>
      <c r="H1637" s="1" t="s">
        <v>0</v>
      </c>
      <c r="I1637">
        <v>20.100000000000001</v>
      </c>
      <c r="J1637" t="s">
        <v>6</v>
      </c>
      <c r="K1637">
        <v>23.3</v>
      </c>
      <c r="L1637">
        <v>27.2</v>
      </c>
      <c r="M1637">
        <f t="shared" si="103"/>
        <v>1</v>
      </c>
    </row>
    <row r="1638" spans="1:13" x14ac:dyDescent="0.2">
      <c r="A1638" s="9">
        <v>44376</v>
      </c>
      <c r="B1638">
        <f t="shared" si="100"/>
        <v>29</v>
      </c>
      <c r="C1638">
        <f t="shared" si="101"/>
        <v>6</v>
      </c>
      <c r="D1638">
        <f t="shared" si="102"/>
        <v>2021</v>
      </c>
      <c r="E1638" s="11">
        <v>3.1309999999999998</v>
      </c>
      <c r="F1638" s="11">
        <v>101.54900000000001</v>
      </c>
      <c r="G1638" s="11">
        <v>27.4</v>
      </c>
      <c r="H1638" s="1" t="s">
        <v>0</v>
      </c>
      <c r="I1638">
        <v>3</v>
      </c>
      <c r="J1638" t="s">
        <v>6</v>
      </c>
      <c r="K1638" t="s">
        <v>6</v>
      </c>
      <c r="L1638">
        <v>25.9</v>
      </c>
      <c r="M1638">
        <f t="shared" si="103"/>
        <v>1</v>
      </c>
    </row>
    <row r="1639" spans="1:13" x14ac:dyDescent="0.2">
      <c r="A1639" s="9">
        <v>44377</v>
      </c>
      <c r="B1639">
        <f t="shared" si="100"/>
        <v>30</v>
      </c>
      <c r="C1639">
        <f t="shared" si="101"/>
        <v>6</v>
      </c>
      <c r="D1639">
        <f t="shared" si="102"/>
        <v>2021</v>
      </c>
      <c r="E1639" s="11">
        <v>3.1309999999999998</v>
      </c>
      <c r="F1639" s="11">
        <v>101.54900000000001</v>
      </c>
      <c r="G1639" s="11">
        <v>27.4</v>
      </c>
      <c r="H1639" s="1" t="s">
        <v>0</v>
      </c>
      <c r="I1639">
        <v>9.9</v>
      </c>
      <c r="J1639" t="s">
        <v>6</v>
      </c>
      <c r="K1639">
        <v>23.7</v>
      </c>
      <c r="L1639">
        <v>28.3</v>
      </c>
      <c r="M1639">
        <f t="shared" si="103"/>
        <v>1</v>
      </c>
    </row>
    <row r="1640" spans="1:13" x14ac:dyDescent="0.2">
      <c r="A1640" s="9">
        <v>44378</v>
      </c>
      <c r="B1640">
        <f t="shared" si="100"/>
        <v>1</v>
      </c>
      <c r="C1640">
        <f t="shared" si="101"/>
        <v>7</v>
      </c>
      <c r="D1640">
        <f t="shared" si="102"/>
        <v>2021</v>
      </c>
      <c r="E1640" s="11">
        <v>3.1309999999999998</v>
      </c>
      <c r="F1640" s="11">
        <v>101.54900000000001</v>
      </c>
      <c r="G1640" s="11">
        <v>27.4</v>
      </c>
      <c r="H1640" s="1" t="s">
        <v>0</v>
      </c>
      <c r="I1640">
        <v>0</v>
      </c>
      <c r="J1640" t="s">
        <v>6</v>
      </c>
      <c r="K1640" t="s">
        <v>6</v>
      </c>
      <c r="L1640">
        <v>27.6</v>
      </c>
      <c r="M1640">
        <f t="shared" si="103"/>
        <v>0</v>
      </c>
    </row>
    <row r="1641" spans="1:13" x14ac:dyDescent="0.2">
      <c r="A1641" s="9">
        <v>44379</v>
      </c>
      <c r="B1641">
        <f t="shared" si="100"/>
        <v>2</v>
      </c>
      <c r="C1641">
        <f t="shared" si="101"/>
        <v>7</v>
      </c>
      <c r="D1641">
        <f t="shared" si="102"/>
        <v>2021</v>
      </c>
      <c r="E1641" s="11">
        <v>3.1309999999999998</v>
      </c>
      <c r="F1641" s="11">
        <v>101.54900000000001</v>
      </c>
      <c r="G1641" s="11">
        <v>27.4</v>
      </c>
      <c r="H1641" s="1" t="s">
        <v>0</v>
      </c>
      <c r="I1641">
        <v>9.9</v>
      </c>
      <c r="J1641" t="s">
        <v>6</v>
      </c>
      <c r="K1641">
        <v>24.3</v>
      </c>
      <c r="L1641">
        <v>28.4</v>
      </c>
      <c r="M1641">
        <f t="shared" si="103"/>
        <v>1</v>
      </c>
    </row>
    <row r="1642" spans="1:13" x14ac:dyDescent="0.2">
      <c r="A1642" s="9">
        <v>44380</v>
      </c>
      <c r="B1642">
        <f t="shared" si="100"/>
        <v>3</v>
      </c>
      <c r="C1642">
        <f t="shared" si="101"/>
        <v>7</v>
      </c>
      <c r="D1642">
        <f t="shared" si="102"/>
        <v>2021</v>
      </c>
      <c r="E1642" s="11">
        <v>3.1309999999999998</v>
      </c>
      <c r="F1642" s="11">
        <v>101.54900000000001</v>
      </c>
      <c r="G1642" s="11">
        <v>27.4</v>
      </c>
      <c r="H1642" s="1" t="s">
        <v>0</v>
      </c>
      <c r="I1642">
        <v>0</v>
      </c>
      <c r="J1642" t="s">
        <v>6</v>
      </c>
      <c r="K1642">
        <v>24.8</v>
      </c>
      <c r="L1642">
        <v>28.5</v>
      </c>
      <c r="M1642">
        <f t="shared" si="103"/>
        <v>0</v>
      </c>
    </row>
    <row r="1643" spans="1:13" x14ac:dyDescent="0.2">
      <c r="A1643" s="9">
        <v>44381</v>
      </c>
      <c r="B1643">
        <f t="shared" si="100"/>
        <v>4</v>
      </c>
      <c r="C1643">
        <f t="shared" si="101"/>
        <v>7</v>
      </c>
      <c r="D1643">
        <f t="shared" si="102"/>
        <v>2021</v>
      </c>
      <c r="E1643" s="11">
        <v>3.1309999999999998</v>
      </c>
      <c r="F1643" s="11">
        <v>101.54900000000001</v>
      </c>
      <c r="G1643" s="11">
        <v>27.4</v>
      </c>
      <c r="H1643" s="1" t="s">
        <v>0</v>
      </c>
      <c r="I1643" t="s">
        <v>6</v>
      </c>
      <c r="J1643" t="s">
        <v>6</v>
      </c>
      <c r="K1643" t="s">
        <v>6</v>
      </c>
      <c r="L1643">
        <v>26.8</v>
      </c>
      <c r="M1643" t="str">
        <f t="shared" si="103"/>
        <v/>
      </c>
    </row>
    <row r="1644" spans="1:13" x14ac:dyDescent="0.2">
      <c r="A1644" s="9">
        <v>44382</v>
      </c>
      <c r="B1644">
        <f t="shared" si="100"/>
        <v>5</v>
      </c>
      <c r="C1644">
        <f t="shared" si="101"/>
        <v>7</v>
      </c>
      <c r="D1644">
        <f t="shared" si="102"/>
        <v>2021</v>
      </c>
      <c r="E1644" s="11">
        <v>3.1309999999999998</v>
      </c>
      <c r="F1644" s="11">
        <v>101.54900000000001</v>
      </c>
      <c r="G1644" s="11">
        <v>27.4</v>
      </c>
      <c r="H1644" s="1" t="s">
        <v>0</v>
      </c>
      <c r="I1644" t="s">
        <v>6</v>
      </c>
      <c r="J1644" t="s">
        <v>6</v>
      </c>
      <c r="K1644" t="s">
        <v>6</v>
      </c>
      <c r="L1644">
        <v>26.7</v>
      </c>
      <c r="M1644" t="str">
        <f t="shared" si="103"/>
        <v/>
      </c>
    </row>
    <row r="1645" spans="1:13" x14ac:dyDescent="0.2">
      <c r="A1645" s="9">
        <v>44383</v>
      </c>
      <c r="B1645">
        <f t="shared" si="100"/>
        <v>6</v>
      </c>
      <c r="C1645">
        <f t="shared" si="101"/>
        <v>7</v>
      </c>
      <c r="D1645">
        <f t="shared" si="102"/>
        <v>2021</v>
      </c>
      <c r="E1645" s="11">
        <v>3.1309999999999998</v>
      </c>
      <c r="F1645" s="11">
        <v>101.54900000000001</v>
      </c>
      <c r="G1645" s="11">
        <v>27.4</v>
      </c>
      <c r="H1645" s="1" t="s">
        <v>0</v>
      </c>
      <c r="I1645">
        <v>10.4</v>
      </c>
      <c r="J1645" t="s">
        <v>6</v>
      </c>
      <c r="K1645">
        <v>23.8</v>
      </c>
      <c r="L1645">
        <v>26.6</v>
      </c>
      <c r="M1645">
        <f t="shared" si="103"/>
        <v>1</v>
      </c>
    </row>
    <row r="1646" spans="1:13" x14ac:dyDescent="0.2">
      <c r="A1646" s="9">
        <v>44384</v>
      </c>
      <c r="B1646">
        <f t="shared" si="100"/>
        <v>7</v>
      </c>
      <c r="C1646">
        <f t="shared" si="101"/>
        <v>7</v>
      </c>
      <c r="D1646">
        <f t="shared" si="102"/>
        <v>2021</v>
      </c>
      <c r="E1646" s="11">
        <v>3.1309999999999998</v>
      </c>
      <c r="F1646" s="11">
        <v>101.54900000000001</v>
      </c>
      <c r="G1646" s="11">
        <v>27.4</v>
      </c>
      <c r="H1646" s="1" t="s">
        <v>0</v>
      </c>
      <c r="I1646">
        <v>0</v>
      </c>
      <c r="J1646" t="s">
        <v>6</v>
      </c>
      <c r="K1646">
        <v>24.3</v>
      </c>
      <c r="L1646">
        <v>28.9</v>
      </c>
      <c r="M1646">
        <f t="shared" si="103"/>
        <v>0</v>
      </c>
    </row>
    <row r="1647" spans="1:13" x14ac:dyDescent="0.2">
      <c r="A1647" s="9">
        <v>44385</v>
      </c>
      <c r="B1647">
        <f t="shared" si="100"/>
        <v>8</v>
      </c>
      <c r="C1647">
        <f t="shared" si="101"/>
        <v>7</v>
      </c>
      <c r="D1647">
        <f t="shared" si="102"/>
        <v>2021</v>
      </c>
      <c r="E1647" s="11">
        <v>3.1309999999999998</v>
      </c>
      <c r="F1647" s="11">
        <v>101.54900000000001</v>
      </c>
      <c r="G1647" s="11">
        <v>27.4</v>
      </c>
      <c r="H1647" s="1" t="s">
        <v>0</v>
      </c>
      <c r="I1647">
        <v>0</v>
      </c>
      <c r="J1647">
        <v>33.299999999999997</v>
      </c>
      <c r="K1647" t="s">
        <v>6</v>
      </c>
      <c r="L1647">
        <v>26.8</v>
      </c>
      <c r="M1647">
        <f t="shared" si="103"/>
        <v>0</v>
      </c>
    </row>
    <row r="1648" spans="1:13" x14ac:dyDescent="0.2">
      <c r="A1648" s="9">
        <v>44386</v>
      </c>
      <c r="B1648">
        <f t="shared" si="100"/>
        <v>9</v>
      </c>
      <c r="C1648">
        <f t="shared" si="101"/>
        <v>7</v>
      </c>
      <c r="D1648">
        <f t="shared" si="102"/>
        <v>2021</v>
      </c>
      <c r="E1648" s="11">
        <v>3.1309999999999998</v>
      </c>
      <c r="F1648" s="11">
        <v>101.54900000000001</v>
      </c>
      <c r="G1648" s="11">
        <v>27.4</v>
      </c>
      <c r="H1648" s="1" t="s">
        <v>0</v>
      </c>
      <c r="I1648">
        <v>23.9</v>
      </c>
      <c r="J1648" t="s">
        <v>6</v>
      </c>
      <c r="K1648">
        <v>24.4</v>
      </c>
      <c r="L1648">
        <v>27.9</v>
      </c>
      <c r="M1648">
        <f t="shared" si="103"/>
        <v>1</v>
      </c>
    </row>
    <row r="1649" spans="1:13" x14ac:dyDescent="0.2">
      <c r="A1649" s="9">
        <v>44387</v>
      </c>
      <c r="B1649">
        <f t="shared" si="100"/>
        <v>10</v>
      </c>
      <c r="C1649">
        <f t="shared" si="101"/>
        <v>7</v>
      </c>
      <c r="D1649">
        <f t="shared" si="102"/>
        <v>2021</v>
      </c>
      <c r="E1649" s="11">
        <v>3.1309999999999998</v>
      </c>
      <c r="F1649" s="11">
        <v>101.54900000000001</v>
      </c>
      <c r="G1649" s="11">
        <v>27.4</v>
      </c>
      <c r="H1649" s="1" t="s">
        <v>0</v>
      </c>
      <c r="I1649">
        <v>0</v>
      </c>
      <c r="J1649" t="s">
        <v>6</v>
      </c>
      <c r="K1649" t="s">
        <v>6</v>
      </c>
      <c r="L1649">
        <v>26.7</v>
      </c>
      <c r="M1649">
        <f t="shared" si="103"/>
        <v>0</v>
      </c>
    </row>
    <row r="1650" spans="1:13" x14ac:dyDescent="0.2">
      <c r="A1650" s="9">
        <v>44388</v>
      </c>
      <c r="B1650">
        <f t="shared" si="100"/>
        <v>11</v>
      </c>
      <c r="C1650">
        <f t="shared" si="101"/>
        <v>7</v>
      </c>
      <c r="D1650">
        <f t="shared" si="102"/>
        <v>2021</v>
      </c>
      <c r="E1650" s="11">
        <v>3.1309999999999998</v>
      </c>
      <c r="F1650" s="11">
        <v>101.54900000000001</v>
      </c>
      <c r="G1650" s="11">
        <v>27.4</v>
      </c>
      <c r="H1650" s="1" t="s">
        <v>0</v>
      </c>
      <c r="I1650">
        <v>8.9</v>
      </c>
      <c r="J1650" t="s">
        <v>6</v>
      </c>
      <c r="K1650" t="s">
        <v>6</v>
      </c>
      <c r="L1650">
        <v>26.3</v>
      </c>
      <c r="M1650">
        <f t="shared" si="103"/>
        <v>1</v>
      </c>
    </row>
    <row r="1651" spans="1:13" x14ac:dyDescent="0.2">
      <c r="A1651" s="9">
        <v>44389</v>
      </c>
      <c r="B1651">
        <f t="shared" si="100"/>
        <v>12</v>
      </c>
      <c r="C1651">
        <f t="shared" si="101"/>
        <v>7</v>
      </c>
      <c r="D1651">
        <f t="shared" si="102"/>
        <v>2021</v>
      </c>
      <c r="E1651" s="11">
        <v>3.1309999999999998</v>
      </c>
      <c r="F1651" s="11">
        <v>101.54900000000001</v>
      </c>
      <c r="G1651" s="11">
        <v>27.4</v>
      </c>
      <c r="H1651" s="1" t="s">
        <v>0</v>
      </c>
      <c r="I1651">
        <v>35.1</v>
      </c>
      <c r="J1651" t="s">
        <v>6</v>
      </c>
      <c r="K1651">
        <v>23.1</v>
      </c>
      <c r="L1651">
        <v>27.9</v>
      </c>
      <c r="M1651">
        <f t="shared" si="103"/>
        <v>1</v>
      </c>
    </row>
    <row r="1652" spans="1:13" x14ac:dyDescent="0.2">
      <c r="A1652" s="9">
        <v>44390</v>
      </c>
      <c r="B1652">
        <f t="shared" si="100"/>
        <v>13</v>
      </c>
      <c r="C1652">
        <f t="shared" si="101"/>
        <v>7</v>
      </c>
      <c r="D1652">
        <f t="shared" si="102"/>
        <v>2021</v>
      </c>
      <c r="E1652" s="11">
        <v>3.1309999999999998</v>
      </c>
      <c r="F1652" s="11">
        <v>101.54900000000001</v>
      </c>
      <c r="G1652" s="11">
        <v>27.4</v>
      </c>
      <c r="H1652" s="1" t="s">
        <v>0</v>
      </c>
      <c r="I1652">
        <v>0</v>
      </c>
      <c r="J1652" t="s">
        <v>6</v>
      </c>
      <c r="K1652">
        <v>23.5</v>
      </c>
      <c r="L1652">
        <v>26.8</v>
      </c>
      <c r="M1652">
        <f t="shared" si="103"/>
        <v>0</v>
      </c>
    </row>
    <row r="1653" spans="1:13" x14ac:dyDescent="0.2">
      <c r="A1653" s="9">
        <v>44391</v>
      </c>
      <c r="B1653">
        <f t="shared" si="100"/>
        <v>14</v>
      </c>
      <c r="C1653">
        <f t="shared" si="101"/>
        <v>7</v>
      </c>
      <c r="D1653">
        <f t="shared" si="102"/>
        <v>2021</v>
      </c>
      <c r="E1653" s="11">
        <v>3.1309999999999998</v>
      </c>
      <c r="F1653" s="11">
        <v>101.54900000000001</v>
      </c>
      <c r="G1653" s="11">
        <v>27.4</v>
      </c>
      <c r="H1653" s="1" t="s">
        <v>0</v>
      </c>
      <c r="I1653" t="s">
        <v>6</v>
      </c>
      <c r="J1653" t="s">
        <v>6</v>
      </c>
      <c r="K1653" t="s">
        <v>6</v>
      </c>
      <c r="L1653">
        <v>27.6</v>
      </c>
      <c r="M1653" t="str">
        <f t="shared" si="103"/>
        <v/>
      </c>
    </row>
    <row r="1654" spans="1:13" x14ac:dyDescent="0.2">
      <c r="A1654" s="9">
        <v>44392</v>
      </c>
      <c r="B1654">
        <f t="shared" si="100"/>
        <v>15</v>
      </c>
      <c r="C1654">
        <f t="shared" si="101"/>
        <v>7</v>
      </c>
      <c r="D1654">
        <f t="shared" si="102"/>
        <v>2021</v>
      </c>
      <c r="E1654" s="11">
        <v>3.1309999999999998</v>
      </c>
      <c r="F1654" s="11">
        <v>101.54900000000001</v>
      </c>
      <c r="G1654" s="11">
        <v>27.4</v>
      </c>
      <c r="H1654" s="1" t="s">
        <v>0</v>
      </c>
      <c r="I1654" t="s">
        <v>6</v>
      </c>
      <c r="J1654" t="s">
        <v>6</v>
      </c>
      <c r="K1654">
        <v>24.4</v>
      </c>
      <c r="L1654">
        <v>29</v>
      </c>
      <c r="M1654" t="str">
        <f t="shared" si="103"/>
        <v/>
      </c>
    </row>
    <row r="1655" spans="1:13" x14ac:dyDescent="0.2">
      <c r="A1655" s="9">
        <v>44393</v>
      </c>
      <c r="B1655">
        <f t="shared" si="100"/>
        <v>16</v>
      </c>
      <c r="C1655">
        <f t="shared" si="101"/>
        <v>7</v>
      </c>
      <c r="D1655">
        <f t="shared" si="102"/>
        <v>2021</v>
      </c>
      <c r="E1655" s="11">
        <v>3.1309999999999998</v>
      </c>
      <c r="F1655" s="11">
        <v>101.54900000000001</v>
      </c>
      <c r="G1655" s="11">
        <v>27.4</v>
      </c>
      <c r="H1655" s="1" t="s">
        <v>0</v>
      </c>
      <c r="I1655" t="s">
        <v>6</v>
      </c>
      <c r="J1655" t="s">
        <v>6</v>
      </c>
      <c r="K1655">
        <v>24.7</v>
      </c>
      <c r="L1655">
        <v>29.7</v>
      </c>
      <c r="M1655" t="str">
        <f t="shared" si="103"/>
        <v/>
      </c>
    </row>
    <row r="1656" spans="1:13" x14ac:dyDescent="0.2">
      <c r="A1656" s="9">
        <v>44394</v>
      </c>
      <c r="B1656">
        <f t="shared" si="100"/>
        <v>17</v>
      </c>
      <c r="C1656">
        <f t="shared" si="101"/>
        <v>7</v>
      </c>
      <c r="D1656">
        <f t="shared" si="102"/>
        <v>2021</v>
      </c>
      <c r="E1656" s="11">
        <v>3.1309999999999998</v>
      </c>
      <c r="F1656" s="11">
        <v>101.54900000000001</v>
      </c>
      <c r="G1656" s="11">
        <v>27.4</v>
      </c>
      <c r="H1656" s="1" t="s">
        <v>0</v>
      </c>
      <c r="I1656" t="s">
        <v>6</v>
      </c>
      <c r="J1656" t="s">
        <v>6</v>
      </c>
      <c r="K1656" t="s">
        <v>6</v>
      </c>
      <c r="L1656">
        <v>29.7</v>
      </c>
      <c r="M1656" t="str">
        <f t="shared" si="103"/>
        <v/>
      </c>
    </row>
    <row r="1657" spans="1:13" x14ac:dyDescent="0.2">
      <c r="A1657" s="9">
        <v>44395</v>
      </c>
      <c r="B1657">
        <f t="shared" si="100"/>
        <v>18</v>
      </c>
      <c r="C1657">
        <f t="shared" si="101"/>
        <v>7</v>
      </c>
      <c r="D1657">
        <f t="shared" si="102"/>
        <v>2021</v>
      </c>
      <c r="E1657" s="11">
        <v>3.1309999999999998</v>
      </c>
      <c r="F1657" s="11">
        <v>101.54900000000001</v>
      </c>
      <c r="G1657" s="11">
        <v>27.4</v>
      </c>
      <c r="H1657" s="1" t="s">
        <v>0</v>
      </c>
      <c r="I1657" t="s">
        <v>6</v>
      </c>
      <c r="J1657" t="s">
        <v>6</v>
      </c>
      <c r="K1657" t="s">
        <v>6</v>
      </c>
      <c r="L1657">
        <v>28.6</v>
      </c>
      <c r="M1657" t="str">
        <f t="shared" si="103"/>
        <v/>
      </c>
    </row>
    <row r="1658" spans="1:13" x14ac:dyDescent="0.2">
      <c r="A1658" s="9">
        <v>44396</v>
      </c>
      <c r="B1658">
        <f t="shared" si="100"/>
        <v>19</v>
      </c>
      <c r="C1658">
        <f t="shared" si="101"/>
        <v>7</v>
      </c>
      <c r="D1658">
        <f t="shared" si="102"/>
        <v>2021</v>
      </c>
      <c r="E1658" s="11">
        <v>3.1309999999999998</v>
      </c>
      <c r="F1658" s="11">
        <v>101.54900000000001</v>
      </c>
      <c r="G1658" s="11">
        <v>27.4</v>
      </c>
      <c r="H1658" s="1" t="s">
        <v>0</v>
      </c>
      <c r="I1658" t="s">
        <v>6</v>
      </c>
      <c r="J1658" t="s">
        <v>6</v>
      </c>
      <c r="K1658">
        <v>24.8</v>
      </c>
      <c r="L1658">
        <v>29.7</v>
      </c>
      <c r="M1658" t="str">
        <f t="shared" si="103"/>
        <v/>
      </c>
    </row>
    <row r="1659" spans="1:13" x14ac:dyDescent="0.2">
      <c r="A1659" s="9">
        <v>44397</v>
      </c>
      <c r="B1659">
        <f t="shared" si="100"/>
        <v>20</v>
      </c>
      <c r="C1659">
        <f t="shared" si="101"/>
        <v>7</v>
      </c>
      <c r="D1659">
        <f t="shared" si="102"/>
        <v>2021</v>
      </c>
      <c r="E1659" s="11">
        <v>3.1309999999999998</v>
      </c>
      <c r="F1659" s="11">
        <v>101.54900000000001</v>
      </c>
      <c r="G1659" s="11">
        <v>27.4</v>
      </c>
      <c r="H1659" s="1" t="s">
        <v>0</v>
      </c>
      <c r="I1659">
        <v>0</v>
      </c>
      <c r="J1659" t="s">
        <v>6</v>
      </c>
      <c r="K1659">
        <v>25.4</v>
      </c>
      <c r="L1659">
        <v>29.6</v>
      </c>
      <c r="M1659">
        <f t="shared" si="103"/>
        <v>0</v>
      </c>
    </row>
    <row r="1660" spans="1:13" x14ac:dyDescent="0.2">
      <c r="A1660" s="9">
        <v>44398</v>
      </c>
      <c r="B1660">
        <f t="shared" si="100"/>
        <v>21</v>
      </c>
      <c r="C1660">
        <f t="shared" si="101"/>
        <v>7</v>
      </c>
      <c r="D1660">
        <f t="shared" si="102"/>
        <v>2021</v>
      </c>
      <c r="E1660" s="11">
        <v>3.1309999999999998</v>
      </c>
      <c r="F1660" s="11">
        <v>101.54900000000001</v>
      </c>
      <c r="G1660" s="11">
        <v>27.4</v>
      </c>
      <c r="H1660" s="1" t="s">
        <v>0</v>
      </c>
      <c r="I1660" t="s">
        <v>6</v>
      </c>
      <c r="J1660" t="s">
        <v>6</v>
      </c>
      <c r="K1660" t="s">
        <v>6</v>
      </c>
      <c r="L1660">
        <v>29.9</v>
      </c>
      <c r="M1660" t="str">
        <f t="shared" si="103"/>
        <v/>
      </c>
    </row>
    <row r="1661" spans="1:13" x14ac:dyDescent="0.2">
      <c r="A1661" s="9">
        <v>44399</v>
      </c>
      <c r="B1661">
        <f t="shared" si="100"/>
        <v>22</v>
      </c>
      <c r="C1661">
        <f t="shared" si="101"/>
        <v>7</v>
      </c>
      <c r="D1661">
        <f t="shared" si="102"/>
        <v>2021</v>
      </c>
      <c r="E1661" s="11">
        <v>3.1309999999999998</v>
      </c>
      <c r="F1661" s="11">
        <v>101.54900000000001</v>
      </c>
      <c r="G1661" s="11">
        <v>27.4</v>
      </c>
      <c r="H1661" s="1" t="s">
        <v>0</v>
      </c>
      <c r="I1661">
        <v>4.0999999999999996</v>
      </c>
      <c r="J1661" t="s">
        <v>6</v>
      </c>
      <c r="K1661" t="s">
        <v>6</v>
      </c>
      <c r="L1661">
        <v>29.2</v>
      </c>
      <c r="M1661">
        <f t="shared" si="103"/>
        <v>1</v>
      </c>
    </row>
    <row r="1662" spans="1:13" x14ac:dyDescent="0.2">
      <c r="A1662" s="9">
        <v>44400</v>
      </c>
      <c r="B1662">
        <f t="shared" si="100"/>
        <v>23</v>
      </c>
      <c r="C1662">
        <f t="shared" si="101"/>
        <v>7</v>
      </c>
      <c r="D1662">
        <f t="shared" si="102"/>
        <v>2021</v>
      </c>
      <c r="E1662" s="11">
        <v>3.1309999999999998</v>
      </c>
      <c r="F1662" s="11">
        <v>101.54900000000001</v>
      </c>
      <c r="G1662" s="11">
        <v>27.4</v>
      </c>
      <c r="H1662" s="1" t="s">
        <v>0</v>
      </c>
      <c r="I1662">
        <v>0.5</v>
      </c>
      <c r="J1662" t="s">
        <v>6</v>
      </c>
      <c r="K1662">
        <v>24.7</v>
      </c>
      <c r="L1662">
        <v>29.7</v>
      </c>
      <c r="M1662">
        <f t="shared" si="103"/>
        <v>1</v>
      </c>
    </row>
    <row r="1663" spans="1:13" x14ac:dyDescent="0.2">
      <c r="A1663" s="9">
        <v>44401</v>
      </c>
      <c r="B1663">
        <f t="shared" si="100"/>
        <v>24</v>
      </c>
      <c r="C1663">
        <f t="shared" si="101"/>
        <v>7</v>
      </c>
      <c r="D1663">
        <f t="shared" si="102"/>
        <v>2021</v>
      </c>
      <c r="E1663" s="11">
        <v>3.1309999999999998</v>
      </c>
      <c r="F1663" s="11">
        <v>101.54900000000001</v>
      </c>
      <c r="G1663" s="11">
        <v>27.4</v>
      </c>
      <c r="H1663" s="1" t="s">
        <v>0</v>
      </c>
      <c r="I1663">
        <v>0</v>
      </c>
      <c r="J1663" t="s">
        <v>6</v>
      </c>
      <c r="K1663">
        <v>25.3</v>
      </c>
      <c r="L1663">
        <v>29.6</v>
      </c>
      <c r="M1663">
        <f t="shared" si="103"/>
        <v>0</v>
      </c>
    </row>
    <row r="1664" spans="1:13" x14ac:dyDescent="0.2">
      <c r="A1664" s="9">
        <v>44402</v>
      </c>
      <c r="B1664">
        <f t="shared" si="100"/>
        <v>25</v>
      </c>
      <c r="C1664">
        <f t="shared" si="101"/>
        <v>7</v>
      </c>
      <c r="D1664">
        <f t="shared" si="102"/>
        <v>2021</v>
      </c>
      <c r="E1664" s="11">
        <v>3.1309999999999998</v>
      </c>
      <c r="F1664" s="11">
        <v>101.54900000000001</v>
      </c>
      <c r="G1664" s="11">
        <v>27.4</v>
      </c>
      <c r="H1664" s="1" t="s">
        <v>0</v>
      </c>
      <c r="I1664" t="s">
        <v>6</v>
      </c>
      <c r="J1664" t="s">
        <v>6</v>
      </c>
      <c r="K1664" t="s">
        <v>6</v>
      </c>
      <c r="L1664">
        <v>29.5</v>
      </c>
      <c r="M1664" t="str">
        <f t="shared" si="103"/>
        <v/>
      </c>
    </row>
    <row r="1665" spans="1:13" x14ac:dyDescent="0.2">
      <c r="A1665" s="9">
        <v>44403</v>
      </c>
      <c r="B1665">
        <f t="shared" si="100"/>
        <v>26</v>
      </c>
      <c r="C1665">
        <f t="shared" si="101"/>
        <v>7</v>
      </c>
      <c r="D1665">
        <f t="shared" si="102"/>
        <v>2021</v>
      </c>
      <c r="E1665" s="11">
        <v>3.1309999999999998</v>
      </c>
      <c r="F1665" s="11">
        <v>101.54900000000001</v>
      </c>
      <c r="G1665" s="11">
        <v>27.4</v>
      </c>
      <c r="H1665" s="1" t="s">
        <v>0</v>
      </c>
      <c r="I1665" t="s">
        <v>6</v>
      </c>
      <c r="J1665" t="s">
        <v>6</v>
      </c>
      <c r="K1665" t="s">
        <v>6</v>
      </c>
      <c r="L1665">
        <v>28.3</v>
      </c>
      <c r="M1665" t="str">
        <f t="shared" si="103"/>
        <v/>
      </c>
    </row>
    <row r="1666" spans="1:13" x14ac:dyDescent="0.2">
      <c r="A1666" s="9">
        <v>44404</v>
      </c>
      <c r="B1666">
        <f t="shared" si="100"/>
        <v>27</v>
      </c>
      <c r="C1666">
        <f t="shared" si="101"/>
        <v>7</v>
      </c>
      <c r="D1666">
        <f t="shared" si="102"/>
        <v>2021</v>
      </c>
      <c r="E1666" s="11">
        <v>3.1309999999999998</v>
      </c>
      <c r="F1666" s="11">
        <v>101.54900000000001</v>
      </c>
      <c r="G1666" s="11">
        <v>27.4</v>
      </c>
      <c r="H1666" s="1" t="s">
        <v>0</v>
      </c>
      <c r="I1666" t="s">
        <v>6</v>
      </c>
      <c r="J1666" t="s">
        <v>6</v>
      </c>
      <c r="K1666">
        <v>23.6</v>
      </c>
      <c r="L1666">
        <v>28</v>
      </c>
      <c r="M1666" t="str">
        <f t="shared" si="103"/>
        <v/>
      </c>
    </row>
    <row r="1667" spans="1:13" x14ac:dyDescent="0.2">
      <c r="A1667" s="9">
        <v>44405</v>
      </c>
      <c r="B1667">
        <f t="shared" ref="B1667:B1730" si="104">DAY(A1667)</f>
        <v>28</v>
      </c>
      <c r="C1667">
        <f t="shared" ref="C1667:C1730" si="105">MONTH(A1667)</f>
        <v>7</v>
      </c>
      <c r="D1667">
        <f t="shared" ref="D1667:D1730" si="106">YEAR(A1667)</f>
        <v>2021</v>
      </c>
      <c r="E1667" s="11">
        <v>3.1309999999999998</v>
      </c>
      <c r="F1667" s="11">
        <v>101.54900000000001</v>
      </c>
      <c r="G1667" s="11">
        <v>27.4</v>
      </c>
      <c r="H1667" s="1" t="s">
        <v>0</v>
      </c>
      <c r="I1667" t="s">
        <v>6</v>
      </c>
      <c r="J1667" t="s">
        <v>6</v>
      </c>
      <c r="K1667">
        <v>24.9</v>
      </c>
      <c r="L1667">
        <v>29.3</v>
      </c>
      <c r="M1667" t="str">
        <f t="shared" ref="M1667:M1730" si="107">IF(ISNUMBER(I1667), IF(I1667&gt;0, 1, 0), "")</f>
        <v/>
      </c>
    </row>
    <row r="1668" spans="1:13" x14ac:dyDescent="0.2">
      <c r="A1668" s="9">
        <v>44406</v>
      </c>
      <c r="B1668">
        <f t="shared" si="104"/>
        <v>29</v>
      </c>
      <c r="C1668">
        <f t="shared" si="105"/>
        <v>7</v>
      </c>
      <c r="D1668">
        <f t="shared" si="106"/>
        <v>2021</v>
      </c>
      <c r="E1668" s="11">
        <v>3.1309999999999998</v>
      </c>
      <c r="F1668" s="11">
        <v>101.54900000000001</v>
      </c>
      <c r="G1668" s="11">
        <v>27.4</v>
      </c>
      <c r="H1668" s="1" t="s">
        <v>0</v>
      </c>
      <c r="I1668" t="s">
        <v>6</v>
      </c>
      <c r="J1668" t="s">
        <v>6</v>
      </c>
      <c r="K1668">
        <v>25.2</v>
      </c>
      <c r="L1668">
        <v>28.7</v>
      </c>
      <c r="M1668" t="str">
        <f t="shared" si="107"/>
        <v/>
      </c>
    </row>
    <row r="1669" spans="1:13" x14ac:dyDescent="0.2">
      <c r="A1669" s="9">
        <v>44407</v>
      </c>
      <c r="B1669">
        <f t="shared" si="104"/>
        <v>30</v>
      </c>
      <c r="C1669">
        <f t="shared" si="105"/>
        <v>7</v>
      </c>
      <c r="D1669">
        <f t="shared" si="106"/>
        <v>2021</v>
      </c>
      <c r="E1669" s="11">
        <v>3.1309999999999998</v>
      </c>
      <c r="F1669" s="11">
        <v>101.54900000000001</v>
      </c>
      <c r="G1669" s="11">
        <v>27.4</v>
      </c>
      <c r="H1669" s="1" t="s">
        <v>0</v>
      </c>
      <c r="I1669" t="s">
        <v>6</v>
      </c>
      <c r="J1669" t="s">
        <v>6</v>
      </c>
      <c r="K1669" t="s">
        <v>6</v>
      </c>
      <c r="L1669">
        <v>27.1</v>
      </c>
      <c r="M1669" t="str">
        <f t="shared" si="107"/>
        <v/>
      </c>
    </row>
    <row r="1670" spans="1:13" x14ac:dyDescent="0.2">
      <c r="A1670" s="9">
        <v>44408</v>
      </c>
      <c r="B1670">
        <f t="shared" si="104"/>
        <v>31</v>
      </c>
      <c r="C1670">
        <f t="shared" si="105"/>
        <v>7</v>
      </c>
      <c r="D1670">
        <f t="shared" si="106"/>
        <v>2021</v>
      </c>
      <c r="E1670" s="11">
        <v>3.1309999999999998</v>
      </c>
      <c r="F1670" s="11">
        <v>101.54900000000001</v>
      </c>
      <c r="G1670" s="11">
        <v>27.4</v>
      </c>
      <c r="H1670" s="1" t="s">
        <v>0</v>
      </c>
      <c r="I1670" t="s">
        <v>6</v>
      </c>
      <c r="J1670" t="s">
        <v>6</v>
      </c>
      <c r="K1670" t="s">
        <v>6</v>
      </c>
      <c r="L1670">
        <v>28.2</v>
      </c>
      <c r="M1670" t="str">
        <f t="shared" si="107"/>
        <v/>
      </c>
    </row>
    <row r="1671" spans="1:13" x14ac:dyDescent="0.2">
      <c r="A1671" s="9">
        <v>44409</v>
      </c>
      <c r="B1671">
        <f t="shared" si="104"/>
        <v>1</v>
      </c>
      <c r="C1671">
        <f t="shared" si="105"/>
        <v>8</v>
      </c>
      <c r="D1671">
        <f t="shared" si="106"/>
        <v>2021</v>
      </c>
      <c r="E1671" s="11">
        <v>3.1309999999999998</v>
      </c>
      <c r="F1671" s="11">
        <v>101.54900000000001</v>
      </c>
      <c r="G1671" s="11">
        <v>27.4</v>
      </c>
      <c r="H1671" s="1" t="s">
        <v>0</v>
      </c>
      <c r="I1671">
        <v>54.1</v>
      </c>
      <c r="J1671">
        <v>31.5</v>
      </c>
      <c r="K1671">
        <v>23.7</v>
      </c>
      <c r="L1671">
        <v>28</v>
      </c>
      <c r="M1671">
        <f t="shared" si="107"/>
        <v>1</v>
      </c>
    </row>
    <row r="1672" spans="1:13" x14ac:dyDescent="0.2">
      <c r="A1672" s="9">
        <v>44410</v>
      </c>
      <c r="B1672">
        <f t="shared" si="104"/>
        <v>2</v>
      </c>
      <c r="C1672">
        <f t="shared" si="105"/>
        <v>8</v>
      </c>
      <c r="D1672">
        <f t="shared" si="106"/>
        <v>2021</v>
      </c>
      <c r="E1672" s="11">
        <v>3.1309999999999998</v>
      </c>
      <c r="F1672" s="11">
        <v>101.54900000000001</v>
      </c>
      <c r="G1672" s="11">
        <v>27.4</v>
      </c>
      <c r="H1672" s="1" t="s">
        <v>0</v>
      </c>
      <c r="I1672">
        <v>0</v>
      </c>
      <c r="J1672">
        <v>34.200000000000003</v>
      </c>
      <c r="K1672">
        <v>24.2</v>
      </c>
      <c r="L1672">
        <v>29.4</v>
      </c>
      <c r="M1672">
        <f t="shared" si="107"/>
        <v>0</v>
      </c>
    </row>
    <row r="1673" spans="1:13" x14ac:dyDescent="0.2">
      <c r="A1673" s="9">
        <v>44411</v>
      </c>
      <c r="B1673">
        <f t="shared" si="104"/>
        <v>3</v>
      </c>
      <c r="C1673">
        <f t="shared" si="105"/>
        <v>8</v>
      </c>
      <c r="D1673">
        <f t="shared" si="106"/>
        <v>2021</v>
      </c>
      <c r="E1673" s="11">
        <v>3.1309999999999998</v>
      </c>
      <c r="F1673" s="11">
        <v>101.54900000000001</v>
      </c>
      <c r="G1673" s="11">
        <v>27.4</v>
      </c>
      <c r="H1673" s="1" t="s">
        <v>0</v>
      </c>
      <c r="I1673" t="s">
        <v>6</v>
      </c>
      <c r="J1673">
        <v>33.9</v>
      </c>
      <c r="K1673" t="s">
        <v>6</v>
      </c>
      <c r="L1673">
        <v>29.3</v>
      </c>
      <c r="M1673" t="str">
        <f t="shared" si="107"/>
        <v/>
      </c>
    </row>
    <row r="1674" spans="1:13" x14ac:dyDescent="0.2">
      <c r="A1674" s="9">
        <v>44412</v>
      </c>
      <c r="B1674">
        <f t="shared" si="104"/>
        <v>4</v>
      </c>
      <c r="C1674">
        <f t="shared" si="105"/>
        <v>8</v>
      </c>
      <c r="D1674">
        <f t="shared" si="106"/>
        <v>2021</v>
      </c>
      <c r="E1674" s="11">
        <v>3.1309999999999998</v>
      </c>
      <c r="F1674" s="11">
        <v>101.54900000000001</v>
      </c>
      <c r="G1674" s="11">
        <v>27.4</v>
      </c>
      <c r="H1674" s="1" t="s">
        <v>0</v>
      </c>
      <c r="I1674">
        <v>5.0999999999999996</v>
      </c>
      <c r="J1674" t="s">
        <v>6</v>
      </c>
      <c r="K1674" t="s">
        <v>6</v>
      </c>
      <c r="L1674">
        <v>27.9</v>
      </c>
      <c r="M1674">
        <f t="shared" si="107"/>
        <v>1</v>
      </c>
    </row>
    <row r="1675" spans="1:13" x14ac:dyDescent="0.2">
      <c r="A1675" s="9">
        <v>44413</v>
      </c>
      <c r="B1675">
        <f t="shared" si="104"/>
        <v>5</v>
      </c>
      <c r="C1675">
        <f t="shared" si="105"/>
        <v>8</v>
      </c>
      <c r="D1675">
        <f t="shared" si="106"/>
        <v>2021</v>
      </c>
      <c r="E1675" s="11">
        <v>3.1309999999999998</v>
      </c>
      <c r="F1675" s="11">
        <v>101.54900000000001</v>
      </c>
      <c r="G1675" s="11">
        <v>27.4</v>
      </c>
      <c r="H1675" s="1" t="s">
        <v>0</v>
      </c>
      <c r="I1675">
        <v>1</v>
      </c>
      <c r="J1675" t="s">
        <v>6</v>
      </c>
      <c r="K1675">
        <v>22.3</v>
      </c>
      <c r="L1675">
        <v>27.6</v>
      </c>
      <c r="M1675">
        <f t="shared" si="107"/>
        <v>1</v>
      </c>
    </row>
    <row r="1676" spans="1:13" x14ac:dyDescent="0.2">
      <c r="A1676" s="9">
        <v>44414</v>
      </c>
      <c r="B1676">
        <f t="shared" si="104"/>
        <v>6</v>
      </c>
      <c r="C1676">
        <f t="shared" si="105"/>
        <v>8</v>
      </c>
      <c r="D1676">
        <f t="shared" si="106"/>
        <v>2021</v>
      </c>
      <c r="E1676" s="11">
        <v>3.1309999999999998</v>
      </c>
      <c r="F1676" s="11">
        <v>101.54900000000001</v>
      </c>
      <c r="G1676" s="11">
        <v>27.4</v>
      </c>
      <c r="H1676" s="1" t="s">
        <v>0</v>
      </c>
      <c r="I1676">
        <v>7.1</v>
      </c>
      <c r="J1676" t="s">
        <v>6</v>
      </c>
      <c r="K1676">
        <v>23.6</v>
      </c>
      <c r="L1676">
        <v>29.4</v>
      </c>
      <c r="M1676">
        <f t="shared" si="107"/>
        <v>1</v>
      </c>
    </row>
    <row r="1677" spans="1:13" x14ac:dyDescent="0.2">
      <c r="A1677" s="9">
        <v>44415</v>
      </c>
      <c r="B1677">
        <f t="shared" si="104"/>
        <v>7</v>
      </c>
      <c r="C1677">
        <f t="shared" si="105"/>
        <v>8</v>
      </c>
      <c r="D1677">
        <f t="shared" si="106"/>
        <v>2021</v>
      </c>
      <c r="E1677" s="11">
        <v>3.1309999999999998</v>
      </c>
      <c r="F1677" s="11">
        <v>101.54900000000001</v>
      </c>
      <c r="G1677" s="11">
        <v>27.4</v>
      </c>
      <c r="H1677" s="1" t="s">
        <v>0</v>
      </c>
      <c r="I1677">
        <v>0</v>
      </c>
      <c r="J1677" t="s">
        <v>6</v>
      </c>
      <c r="K1677">
        <v>24.9</v>
      </c>
      <c r="L1677">
        <v>29.8</v>
      </c>
      <c r="M1677">
        <f t="shared" si="107"/>
        <v>0</v>
      </c>
    </row>
    <row r="1678" spans="1:13" x14ac:dyDescent="0.2">
      <c r="A1678" s="9">
        <v>44416</v>
      </c>
      <c r="B1678">
        <f t="shared" si="104"/>
        <v>8</v>
      </c>
      <c r="C1678">
        <f t="shared" si="105"/>
        <v>8</v>
      </c>
      <c r="D1678">
        <f t="shared" si="106"/>
        <v>2021</v>
      </c>
      <c r="E1678" s="11">
        <v>3.1309999999999998</v>
      </c>
      <c r="F1678" s="11">
        <v>101.54900000000001</v>
      </c>
      <c r="G1678" s="11">
        <v>27.4</v>
      </c>
      <c r="H1678" s="1" t="s">
        <v>0</v>
      </c>
      <c r="I1678" t="s">
        <v>6</v>
      </c>
      <c r="J1678">
        <v>33.4</v>
      </c>
      <c r="K1678" t="s">
        <v>6</v>
      </c>
      <c r="L1678">
        <v>26.6</v>
      </c>
      <c r="M1678" t="str">
        <f t="shared" si="107"/>
        <v/>
      </c>
    </row>
    <row r="1679" spans="1:13" x14ac:dyDescent="0.2">
      <c r="A1679" s="9">
        <v>44417</v>
      </c>
      <c r="B1679">
        <f t="shared" si="104"/>
        <v>9</v>
      </c>
      <c r="C1679">
        <f t="shared" si="105"/>
        <v>8</v>
      </c>
      <c r="D1679">
        <f t="shared" si="106"/>
        <v>2021</v>
      </c>
      <c r="E1679" s="11">
        <v>3.1309999999999998</v>
      </c>
      <c r="F1679" s="11">
        <v>101.54900000000001</v>
      </c>
      <c r="G1679" s="11">
        <v>27.4</v>
      </c>
      <c r="H1679" s="1" t="s">
        <v>0</v>
      </c>
      <c r="I1679" t="s">
        <v>6</v>
      </c>
      <c r="J1679" t="s">
        <v>6</v>
      </c>
      <c r="K1679">
        <v>23.9</v>
      </c>
      <c r="L1679">
        <v>28.8</v>
      </c>
      <c r="M1679" t="str">
        <f t="shared" si="107"/>
        <v/>
      </c>
    </row>
    <row r="1680" spans="1:13" x14ac:dyDescent="0.2">
      <c r="A1680" s="9">
        <v>44418</v>
      </c>
      <c r="B1680">
        <f t="shared" si="104"/>
        <v>10</v>
      </c>
      <c r="C1680">
        <f t="shared" si="105"/>
        <v>8</v>
      </c>
      <c r="D1680">
        <f t="shared" si="106"/>
        <v>2021</v>
      </c>
      <c r="E1680" s="11">
        <v>3.1309999999999998</v>
      </c>
      <c r="F1680" s="11">
        <v>101.54900000000001</v>
      </c>
      <c r="G1680" s="11">
        <v>27.4</v>
      </c>
      <c r="H1680" s="1" t="s">
        <v>0</v>
      </c>
      <c r="I1680" t="s">
        <v>6</v>
      </c>
      <c r="J1680">
        <v>32.5</v>
      </c>
      <c r="K1680" t="s">
        <v>6</v>
      </c>
      <c r="L1680">
        <v>27.9</v>
      </c>
      <c r="M1680" t="str">
        <f t="shared" si="107"/>
        <v/>
      </c>
    </row>
    <row r="1681" spans="1:13" x14ac:dyDescent="0.2">
      <c r="A1681" s="9">
        <v>44419</v>
      </c>
      <c r="B1681">
        <f t="shared" si="104"/>
        <v>11</v>
      </c>
      <c r="C1681">
        <f t="shared" si="105"/>
        <v>8</v>
      </c>
      <c r="D1681">
        <f t="shared" si="106"/>
        <v>2021</v>
      </c>
      <c r="E1681" s="11">
        <v>3.1309999999999998</v>
      </c>
      <c r="F1681" s="11">
        <v>101.54900000000001</v>
      </c>
      <c r="G1681" s="11">
        <v>27.4</v>
      </c>
      <c r="H1681" s="1" t="s">
        <v>0</v>
      </c>
      <c r="I1681">
        <v>2</v>
      </c>
      <c r="J1681" t="s">
        <v>6</v>
      </c>
      <c r="K1681">
        <v>23.5</v>
      </c>
      <c r="L1681">
        <v>28.1</v>
      </c>
      <c r="M1681">
        <f t="shared" si="107"/>
        <v>1</v>
      </c>
    </row>
    <row r="1682" spans="1:13" x14ac:dyDescent="0.2">
      <c r="A1682" s="9">
        <v>44420</v>
      </c>
      <c r="B1682">
        <f t="shared" si="104"/>
        <v>12</v>
      </c>
      <c r="C1682">
        <f t="shared" si="105"/>
        <v>8</v>
      </c>
      <c r="D1682">
        <f t="shared" si="106"/>
        <v>2021</v>
      </c>
      <c r="E1682" s="11">
        <v>3.1309999999999998</v>
      </c>
      <c r="F1682" s="11">
        <v>101.54900000000001</v>
      </c>
      <c r="G1682" s="11">
        <v>27.4</v>
      </c>
      <c r="H1682" s="1" t="s">
        <v>0</v>
      </c>
      <c r="I1682">
        <v>0</v>
      </c>
      <c r="J1682" t="s">
        <v>6</v>
      </c>
      <c r="K1682">
        <v>24.4</v>
      </c>
      <c r="L1682">
        <v>28.9</v>
      </c>
      <c r="M1682">
        <f t="shared" si="107"/>
        <v>0</v>
      </c>
    </row>
    <row r="1683" spans="1:13" x14ac:dyDescent="0.2">
      <c r="A1683" s="9">
        <v>44421</v>
      </c>
      <c r="B1683">
        <f t="shared" si="104"/>
        <v>13</v>
      </c>
      <c r="C1683">
        <f t="shared" si="105"/>
        <v>8</v>
      </c>
      <c r="D1683">
        <f t="shared" si="106"/>
        <v>2021</v>
      </c>
      <c r="E1683" s="11">
        <v>3.1309999999999998</v>
      </c>
      <c r="F1683" s="11">
        <v>101.54900000000001</v>
      </c>
      <c r="G1683" s="11">
        <v>27.4</v>
      </c>
      <c r="H1683" s="1" t="s">
        <v>0</v>
      </c>
      <c r="I1683">
        <v>0</v>
      </c>
      <c r="J1683" t="s">
        <v>6</v>
      </c>
      <c r="K1683">
        <v>25.2</v>
      </c>
      <c r="L1683">
        <v>29.3</v>
      </c>
      <c r="M1683">
        <f t="shared" si="107"/>
        <v>0</v>
      </c>
    </row>
    <row r="1684" spans="1:13" x14ac:dyDescent="0.2">
      <c r="A1684" s="9">
        <v>44422</v>
      </c>
      <c r="B1684">
        <f t="shared" si="104"/>
        <v>14</v>
      </c>
      <c r="C1684">
        <f t="shared" si="105"/>
        <v>8</v>
      </c>
      <c r="D1684">
        <f t="shared" si="106"/>
        <v>2021</v>
      </c>
      <c r="E1684" s="11">
        <v>3.1309999999999998</v>
      </c>
      <c r="F1684" s="11">
        <v>101.54900000000001</v>
      </c>
      <c r="G1684" s="11">
        <v>27.4</v>
      </c>
      <c r="H1684" s="1" t="s">
        <v>0</v>
      </c>
      <c r="I1684" t="s">
        <v>6</v>
      </c>
      <c r="J1684" t="s">
        <v>6</v>
      </c>
      <c r="K1684">
        <v>25.5</v>
      </c>
      <c r="L1684">
        <v>28.2</v>
      </c>
      <c r="M1684" t="str">
        <f t="shared" si="107"/>
        <v/>
      </c>
    </row>
    <row r="1685" spans="1:13" x14ac:dyDescent="0.2">
      <c r="A1685" s="9">
        <v>44423</v>
      </c>
      <c r="B1685">
        <f t="shared" si="104"/>
        <v>15</v>
      </c>
      <c r="C1685">
        <f t="shared" si="105"/>
        <v>8</v>
      </c>
      <c r="D1685">
        <f t="shared" si="106"/>
        <v>2021</v>
      </c>
      <c r="E1685" s="11">
        <v>3.1309999999999998</v>
      </c>
      <c r="F1685" s="11">
        <v>101.54900000000001</v>
      </c>
      <c r="G1685" s="11">
        <v>27.4</v>
      </c>
      <c r="H1685" s="1" t="s">
        <v>0</v>
      </c>
      <c r="I1685" t="s">
        <v>6</v>
      </c>
      <c r="J1685" t="s">
        <v>6</v>
      </c>
      <c r="K1685" t="s">
        <v>6</v>
      </c>
      <c r="L1685">
        <v>26.8</v>
      </c>
      <c r="M1685" t="str">
        <f t="shared" si="107"/>
        <v/>
      </c>
    </row>
    <row r="1686" spans="1:13" x14ac:dyDescent="0.2">
      <c r="A1686" s="9">
        <v>44424</v>
      </c>
      <c r="B1686">
        <f t="shared" si="104"/>
        <v>16</v>
      </c>
      <c r="C1686">
        <f t="shared" si="105"/>
        <v>8</v>
      </c>
      <c r="D1686">
        <f t="shared" si="106"/>
        <v>2021</v>
      </c>
      <c r="E1686" s="11">
        <v>3.1309999999999998</v>
      </c>
      <c r="F1686" s="11">
        <v>101.54900000000001</v>
      </c>
      <c r="G1686" s="11">
        <v>27.4</v>
      </c>
      <c r="H1686" s="1" t="s">
        <v>0</v>
      </c>
      <c r="I1686" t="s">
        <v>6</v>
      </c>
      <c r="J1686" t="s">
        <v>6</v>
      </c>
      <c r="K1686" t="s">
        <v>6</v>
      </c>
      <c r="L1686">
        <v>25.8</v>
      </c>
      <c r="M1686" t="str">
        <f t="shared" si="107"/>
        <v/>
      </c>
    </row>
    <row r="1687" spans="1:13" x14ac:dyDescent="0.2">
      <c r="A1687" s="9">
        <v>44425</v>
      </c>
      <c r="B1687">
        <f t="shared" si="104"/>
        <v>17</v>
      </c>
      <c r="C1687">
        <f t="shared" si="105"/>
        <v>8</v>
      </c>
      <c r="D1687">
        <f t="shared" si="106"/>
        <v>2021</v>
      </c>
      <c r="E1687" s="11">
        <v>3.1309999999999998</v>
      </c>
      <c r="F1687" s="11">
        <v>101.54900000000001</v>
      </c>
      <c r="G1687" s="11">
        <v>27.4</v>
      </c>
      <c r="H1687" s="1" t="s">
        <v>0</v>
      </c>
      <c r="I1687" t="s">
        <v>6</v>
      </c>
      <c r="J1687" t="s">
        <v>6</v>
      </c>
      <c r="K1687" t="s">
        <v>6</v>
      </c>
      <c r="L1687">
        <v>25.9</v>
      </c>
      <c r="M1687" t="str">
        <f t="shared" si="107"/>
        <v/>
      </c>
    </row>
    <row r="1688" spans="1:13" x14ac:dyDescent="0.2">
      <c r="A1688" s="9">
        <v>44426</v>
      </c>
      <c r="B1688">
        <f t="shared" si="104"/>
        <v>18</v>
      </c>
      <c r="C1688">
        <f t="shared" si="105"/>
        <v>8</v>
      </c>
      <c r="D1688">
        <f t="shared" si="106"/>
        <v>2021</v>
      </c>
      <c r="E1688" s="11">
        <v>3.1309999999999998</v>
      </c>
      <c r="F1688" s="11">
        <v>101.54900000000001</v>
      </c>
      <c r="G1688" s="11">
        <v>27.4</v>
      </c>
      <c r="H1688" s="1" t="s">
        <v>0</v>
      </c>
      <c r="I1688" t="s">
        <v>6</v>
      </c>
      <c r="J1688" t="s">
        <v>6</v>
      </c>
      <c r="K1688">
        <v>23.6</v>
      </c>
      <c r="L1688">
        <v>24.9</v>
      </c>
      <c r="M1688" t="str">
        <f t="shared" si="107"/>
        <v/>
      </c>
    </row>
    <row r="1689" spans="1:13" x14ac:dyDescent="0.2">
      <c r="A1689" s="9">
        <v>44427</v>
      </c>
      <c r="B1689">
        <f t="shared" si="104"/>
        <v>19</v>
      </c>
      <c r="C1689">
        <f t="shared" si="105"/>
        <v>8</v>
      </c>
      <c r="D1689">
        <f t="shared" si="106"/>
        <v>2021</v>
      </c>
      <c r="E1689" s="11">
        <v>3.1309999999999998</v>
      </c>
      <c r="F1689" s="11">
        <v>101.54900000000001</v>
      </c>
      <c r="G1689" s="11">
        <v>27.4</v>
      </c>
      <c r="H1689" s="1" t="s">
        <v>0</v>
      </c>
      <c r="I1689" t="s">
        <v>6</v>
      </c>
      <c r="J1689" t="s">
        <v>6</v>
      </c>
      <c r="K1689">
        <v>23.5</v>
      </c>
      <c r="L1689">
        <v>27.1</v>
      </c>
      <c r="M1689" t="str">
        <f t="shared" si="107"/>
        <v/>
      </c>
    </row>
    <row r="1690" spans="1:13" x14ac:dyDescent="0.2">
      <c r="A1690" s="9">
        <v>44428</v>
      </c>
      <c r="B1690">
        <f t="shared" si="104"/>
        <v>20</v>
      </c>
      <c r="C1690">
        <f t="shared" si="105"/>
        <v>8</v>
      </c>
      <c r="D1690">
        <f t="shared" si="106"/>
        <v>2021</v>
      </c>
      <c r="E1690" s="11">
        <v>3.1309999999999998</v>
      </c>
      <c r="F1690" s="11">
        <v>101.54900000000001</v>
      </c>
      <c r="G1690" s="11">
        <v>27.4</v>
      </c>
      <c r="H1690" s="1" t="s">
        <v>0</v>
      </c>
      <c r="I1690">
        <v>0</v>
      </c>
      <c r="J1690" t="s">
        <v>6</v>
      </c>
      <c r="K1690">
        <v>23.6</v>
      </c>
      <c r="L1690">
        <v>25.7</v>
      </c>
      <c r="M1690">
        <f t="shared" si="107"/>
        <v>0</v>
      </c>
    </row>
    <row r="1691" spans="1:13" x14ac:dyDescent="0.2">
      <c r="A1691" s="9">
        <v>44429</v>
      </c>
      <c r="B1691">
        <f t="shared" si="104"/>
        <v>21</v>
      </c>
      <c r="C1691">
        <f t="shared" si="105"/>
        <v>8</v>
      </c>
      <c r="D1691">
        <f t="shared" si="106"/>
        <v>2021</v>
      </c>
      <c r="E1691" s="11">
        <v>3.1309999999999998</v>
      </c>
      <c r="F1691" s="11">
        <v>101.54900000000001</v>
      </c>
      <c r="G1691" s="11">
        <v>27.4</v>
      </c>
      <c r="H1691" s="1" t="s">
        <v>0</v>
      </c>
      <c r="I1691">
        <v>5.6</v>
      </c>
      <c r="J1691" t="s">
        <v>6</v>
      </c>
      <c r="K1691" t="s">
        <v>6</v>
      </c>
      <c r="L1691">
        <v>27.4</v>
      </c>
      <c r="M1691">
        <f t="shared" si="107"/>
        <v>1</v>
      </c>
    </row>
    <row r="1692" spans="1:13" x14ac:dyDescent="0.2">
      <c r="A1692" s="9">
        <v>44430</v>
      </c>
      <c r="B1692">
        <f t="shared" si="104"/>
        <v>22</v>
      </c>
      <c r="C1692">
        <f t="shared" si="105"/>
        <v>8</v>
      </c>
      <c r="D1692">
        <f t="shared" si="106"/>
        <v>2021</v>
      </c>
      <c r="E1692" s="11">
        <v>3.1309999999999998</v>
      </c>
      <c r="F1692" s="11">
        <v>101.54900000000001</v>
      </c>
      <c r="G1692" s="11">
        <v>27.4</v>
      </c>
      <c r="H1692" s="1" t="s">
        <v>0</v>
      </c>
      <c r="I1692">
        <v>5.0999999999999996</v>
      </c>
      <c r="J1692">
        <v>31.3</v>
      </c>
      <c r="K1692">
        <v>22.8</v>
      </c>
      <c r="L1692">
        <v>27</v>
      </c>
      <c r="M1692">
        <f t="shared" si="107"/>
        <v>1</v>
      </c>
    </row>
    <row r="1693" spans="1:13" x14ac:dyDescent="0.2">
      <c r="A1693" s="9">
        <v>44431</v>
      </c>
      <c r="B1693">
        <f t="shared" si="104"/>
        <v>23</v>
      </c>
      <c r="C1693">
        <f t="shared" si="105"/>
        <v>8</v>
      </c>
      <c r="D1693">
        <f t="shared" si="106"/>
        <v>2021</v>
      </c>
      <c r="E1693" s="11">
        <v>3.1309999999999998</v>
      </c>
      <c r="F1693" s="11">
        <v>101.54900000000001</v>
      </c>
      <c r="G1693" s="11">
        <v>27.4</v>
      </c>
      <c r="H1693" s="1" t="s">
        <v>0</v>
      </c>
      <c r="I1693">
        <v>0</v>
      </c>
      <c r="J1693" t="s">
        <v>6</v>
      </c>
      <c r="K1693" t="s">
        <v>6</v>
      </c>
      <c r="L1693">
        <v>27.7</v>
      </c>
      <c r="M1693">
        <f t="shared" si="107"/>
        <v>0</v>
      </c>
    </row>
    <row r="1694" spans="1:13" x14ac:dyDescent="0.2">
      <c r="A1694" s="9">
        <v>44432</v>
      </c>
      <c r="B1694">
        <f t="shared" si="104"/>
        <v>24</v>
      </c>
      <c r="C1694">
        <f t="shared" si="105"/>
        <v>8</v>
      </c>
      <c r="D1694">
        <f t="shared" si="106"/>
        <v>2021</v>
      </c>
      <c r="E1694" s="11">
        <v>3.1309999999999998</v>
      </c>
      <c r="F1694" s="11">
        <v>101.54900000000001</v>
      </c>
      <c r="G1694" s="11">
        <v>27.4</v>
      </c>
      <c r="H1694" s="1" t="s">
        <v>0</v>
      </c>
      <c r="I1694" t="s">
        <v>6</v>
      </c>
      <c r="J1694" t="s">
        <v>6</v>
      </c>
      <c r="K1694" t="s">
        <v>6</v>
      </c>
      <c r="L1694">
        <v>27.2</v>
      </c>
      <c r="M1694" t="str">
        <f t="shared" si="107"/>
        <v/>
      </c>
    </row>
    <row r="1695" spans="1:13" x14ac:dyDescent="0.2">
      <c r="A1695" s="9">
        <v>44433</v>
      </c>
      <c r="B1695">
        <f t="shared" si="104"/>
        <v>25</v>
      </c>
      <c r="C1695">
        <f t="shared" si="105"/>
        <v>8</v>
      </c>
      <c r="D1695">
        <f t="shared" si="106"/>
        <v>2021</v>
      </c>
      <c r="E1695" s="11">
        <v>3.1309999999999998</v>
      </c>
      <c r="F1695" s="11">
        <v>101.54900000000001</v>
      </c>
      <c r="G1695" s="11">
        <v>27.4</v>
      </c>
      <c r="H1695" s="1" t="s">
        <v>0</v>
      </c>
      <c r="I1695">
        <v>0</v>
      </c>
      <c r="J1695" t="s">
        <v>6</v>
      </c>
      <c r="K1695" t="s">
        <v>6</v>
      </c>
      <c r="L1695">
        <v>26.9</v>
      </c>
      <c r="M1695">
        <f t="shared" si="107"/>
        <v>0</v>
      </c>
    </row>
    <row r="1696" spans="1:13" x14ac:dyDescent="0.2">
      <c r="A1696" s="9">
        <v>44434</v>
      </c>
      <c r="B1696">
        <f t="shared" si="104"/>
        <v>26</v>
      </c>
      <c r="C1696">
        <f t="shared" si="105"/>
        <v>8</v>
      </c>
      <c r="D1696">
        <f t="shared" si="106"/>
        <v>2021</v>
      </c>
      <c r="E1696" s="11">
        <v>3.1309999999999998</v>
      </c>
      <c r="F1696" s="11">
        <v>101.54900000000001</v>
      </c>
      <c r="G1696" s="11">
        <v>27.4</v>
      </c>
      <c r="H1696" s="1" t="s">
        <v>0</v>
      </c>
      <c r="I1696" t="s">
        <v>6</v>
      </c>
      <c r="J1696" t="s">
        <v>6</v>
      </c>
      <c r="K1696">
        <v>24.3</v>
      </c>
      <c r="L1696">
        <v>28.5</v>
      </c>
      <c r="M1696" t="str">
        <f t="shared" si="107"/>
        <v/>
      </c>
    </row>
    <row r="1697" spans="1:13" x14ac:dyDescent="0.2">
      <c r="A1697" s="9">
        <v>44435</v>
      </c>
      <c r="B1697">
        <f t="shared" si="104"/>
        <v>27</v>
      </c>
      <c r="C1697">
        <f t="shared" si="105"/>
        <v>8</v>
      </c>
      <c r="D1697">
        <f t="shared" si="106"/>
        <v>2021</v>
      </c>
      <c r="E1697" s="11">
        <v>3.1309999999999998</v>
      </c>
      <c r="F1697" s="11">
        <v>101.54900000000001</v>
      </c>
      <c r="G1697" s="11">
        <v>27.4</v>
      </c>
      <c r="H1697" s="1" t="s">
        <v>0</v>
      </c>
      <c r="I1697" t="s">
        <v>6</v>
      </c>
      <c r="J1697" t="s">
        <v>6</v>
      </c>
      <c r="K1697" t="s">
        <v>6</v>
      </c>
      <c r="L1697">
        <v>27.7</v>
      </c>
      <c r="M1697" t="str">
        <f t="shared" si="107"/>
        <v/>
      </c>
    </row>
    <row r="1698" spans="1:13" x14ac:dyDescent="0.2">
      <c r="A1698" s="9">
        <v>44436</v>
      </c>
      <c r="B1698">
        <f t="shared" si="104"/>
        <v>28</v>
      </c>
      <c r="C1698">
        <f t="shared" si="105"/>
        <v>8</v>
      </c>
      <c r="D1698">
        <f t="shared" si="106"/>
        <v>2021</v>
      </c>
      <c r="E1698" s="11">
        <v>3.1309999999999998</v>
      </c>
      <c r="F1698" s="11">
        <v>101.54900000000001</v>
      </c>
      <c r="G1698" s="11">
        <v>27.4</v>
      </c>
      <c r="H1698" s="1" t="s">
        <v>0</v>
      </c>
      <c r="I1698">
        <v>3.8</v>
      </c>
      <c r="J1698" t="s">
        <v>6</v>
      </c>
      <c r="K1698">
        <v>22.7</v>
      </c>
      <c r="L1698">
        <v>28.3</v>
      </c>
      <c r="M1698">
        <f t="shared" si="107"/>
        <v>1</v>
      </c>
    </row>
    <row r="1699" spans="1:13" x14ac:dyDescent="0.2">
      <c r="A1699" s="9">
        <v>44437</v>
      </c>
      <c r="B1699">
        <f t="shared" si="104"/>
        <v>29</v>
      </c>
      <c r="C1699">
        <f t="shared" si="105"/>
        <v>8</v>
      </c>
      <c r="D1699">
        <f t="shared" si="106"/>
        <v>2021</v>
      </c>
      <c r="E1699" s="11">
        <v>3.1309999999999998</v>
      </c>
      <c r="F1699" s="11">
        <v>101.54900000000001</v>
      </c>
      <c r="G1699" s="11">
        <v>27.4</v>
      </c>
      <c r="H1699" s="1" t="s">
        <v>0</v>
      </c>
      <c r="I1699">
        <v>7.1</v>
      </c>
      <c r="J1699">
        <v>30.6</v>
      </c>
      <c r="K1699">
        <v>23.7</v>
      </c>
      <c r="L1699">
        <v>26.8</v>
      </c>
      <c r="M1699">
        <f t="shared" si="107"/>
        <v>1</v>
      </c>
    </row>
    <row r="1700" spans="1:13" x14ac:dyDescent="0.2">
      <c r="A1700" s="9">
        <v>44438</v>
      </c>
      <c r="B1700">
        <f t="shared" si="104"/>
        <v>30</v>
      </c>
      <c r="C1700">
        <f t="shared" si="105"/>
        <v>8</v>
      </c>
      <c r="D1700">
        <f t="shared" si="106"/>
        <v>2021</v>
      </c>
      <c r="E1700" s="11">
        <v>3.1309999999999998</v>
      </c>
      <c r="F1700" s="11">
        <v>101.54900000000001</v>
      </c>
      <c r="G1700" s="11">
        <v>27.4</v>
      </c>
      <c r="H1700" s="1" t="s">
        <v>0</v>
      </c>
      <c r="I1700">
        <v>8.6</v>
      </c>
      <c r="J1700" t="s">
        <v>6</v>
      </c>
      <c r="K1700">
        <v>23.9</v>
      </c>
      <c r="L1700">
        <v>28.6</v>
      </c>
      <c r="M1700">
        <f t="shared" si="107"/>
        <v>1</v>
      </c>
    </row>
    <row r="1701" spans="1:13" x14ac:dyDescent="0.2">
      <c r="A1701" s="9">
        <v>44439</v>
      </c>
      <c r="B1701">
        <f t="shared" si="104"/>
        <v>31</v>
      </c>
      <c r="C1701">
        <f t="shared" si="105"/>
        <v>8</v>
      </c>
      <c r="D1701">
        <f t="shared" si="106"/>
        <v>2021</v>
      </c>
      <c r="E1701" s="11">
        <v>3.1309999999999998</v>
      </c>
      <c r="F1701" s="11">
        <v>101.54900000000001</v>
      </c>
      <c r="G1701" s="11">
        <v>27.4</v>
      </c>
      <c r="H1701" s="1" t="s">
        <v>0</v>
      </c>
      <c r="I1701">
        <v>8.9</v>
      </c>
      <c r="J1701" t="s">
        <v>6</v>
      </c>
      <c r="K1701">
        <v>23.7</v>
      </c>
      <c r="L1701">
        <v>26.9</v>
      </c>
      <c r="M1701">
        <f t="shared" si="107"/>
        <v>1</v>
      </c>
    </row>
    <row r="1702" spans="1:13" x14ac:dyDescent="0.2">
      <c r="A1702" s="9">
        <v>44440</v>
      </c>
      <c r="B1702">
        <f t="shared" si="104"/>
        <v>1</v>
      </c>
      <c r="C1702">
        <f t="shared" si="105"/>
        <v>9</v>
      </c>
      <c r="D1702">
        <f t="shared" si="106"/>
        <v>2021</v>
      </c>
      <c r="E1702" s="11">
        <v>3.1309999999999998</v>
      </c>
      <c r="F1702" s="11">
        <v>101.54900000000001</v>
      </c>
      <c r="G1702" s="11">
        <v>27.4</v>
      </c>
      <c r="H1702" s="1" t="s">
        <v>0</v>
      </c>
      <c r="I1702">
        <v>19.3</v>
      </c>
      <c r="J1702" t="s">
        <v>6</v>
      </c>
      <c r="K1702">
        <v>23.7</v>
      </c>
      <c r="L1702">
        <v>27.9</v>
      </c>
      <c r="M1702">
        <f t="shared" si="107"/>
        <v>1</v>
      </c>
    </row>
    <row r="1703" spans="1:13" x14ac:dyDescent="0.2">
      <c r="A1703" s="9">
        <v>44441</v>
      </c>
      <c r="B1703">
        <f t="shared" si="104"/>
        <v>2</v>
      </c>
      <c r="C1703">
        <f t="shared" si="105"/>
        <v>9</v>
      </c>
      <c r="D1703">
        <f t="shared" si="106"/>
        <v>2021</v>
      </c>
      <c r="E1703" s="11">
        <v>3.1309999999999998</v>
      </c>
      <c r="F1703" s="11">
        <v>101.54900000000001</v>
      </c>
      <c r="G1703" s="11">
        <v>27.4</v>
      </c>
      <c r="H1703" s="1" t="s">
        <v>0</v>
      </c>
      <c r="I1703">
        <v>0</v>
      </c>
      <c r="J1703" t="s">
        <v>6</v>
      </c>
      <c r="K1703">
        <v>24</v>
      </c>
      <c r="L1703">
        <v>27.8</v>
      </c>
      <c r="M1703">
        <f t="shared" si="107"/>
        <v>0</v>
      </c>
    </row>
    <row r="1704" spans="1:13" x14ac:dyDescent="0.2">
      <c r="A1704" s="9">
        <v>44442</v>
      </c>
      <c r="B1704">
        <f t="shared" si="104"/>
        <v>3</v>
      </c>
      <c r="C1704">
        <f t="shared" si="105"/>
        <v>9</v>
      </c>
      <c r="D1704">
        <f t="shared" si="106"/>
        <v>2021</v>
      </c>
      <c r="E1704" s="11">
        <v>3.1309999999999998</v>
      </c>
      <c r="F1704" s="11">
        <v>101.54900000000001</v>
      </c>
      <c r="G1704" s="11">
        <v>27.4</v>
      </c>
      <c r="H1704" s="1" t="s">
        <v>0</v>
      </c>
      <c r="I1704" t="s">
        <v>6</v>
      </c>
      <c r="J1704" t="s">
        <v>6</v>
      </c>
      <c r="K1704" t="s">
        <v>6</v>
      </c>
      <c r="L1704">
        <v>27.6</v>
      </c>
      <c r="M1704" t="str">
        <f t="shared" si="107"/>
        <v/>
      </c>
    </row>
    <row r="1705" spans="1:13" x14ac:dyDescent="0.2">
      <c r="A1705" s="9">
        <v>44443</v>
      </c>
      <c r="B1705">
        <f t="shared" si="104"/>
        <v>4</v>
      </c>
      <c r="C1705">
        <f t="shared" si="105"/>
        <v>9</v>
      </c>
      <c r="D1705">
        <f t="shared" si="106"/>
        <v>2021</v>
      </c>
      <c r="E1705" s="11">
        <v>3.1309999999999998</v>
      </c>
      <c r="F1705" s="11">
        <v>101.54900000000001</v>
      </c>
      <c r="G1705" s="11">
        <v>27.4</v>
      </c>
      <c r="H1705" s="1" t="s">
        <v>0</v>
      </c>
      <c r="I1705">
        <v>0</v>
      </c>
      <c r="J1705" t="s">
        <v>6</v>
      </c>
      <c r="K1705">
        <v>23.8</v>
      </c>
      <c r="L1705">
        <v>28</v>
      </c>
      <c r="M1705">
        <f t="shared" si="107"/>
        <v>0</v>
      </c>
    </row>
    <row r="1706" spans="1:13" x14ac:dyDescent="0.2">
      <c r="A1706" s="9">
        <v>44444</v>
      </c>
      <c r="B1706">
        <f t="shared" si="104"/>
        <v>5</v>
      </c>
      <c r="C1706">
        <f t="shared" si="105"/>
        <v>9</v>
      </c>
      <c r="D1706">
        <f t="shared" si="106"/>
        <v>2021</v>
      </c>
      <c r="E1706" s="11">
        <v>3.1309999999999998</v>
      </c>
      <c r="F1706" s="11">
        <v>101.54900000000001</v>
      </c>
      <c r="G1706" s="11">
        <v>27.4</v>
      </c>
      <c r="H1706" s="1" t="s">
        <v>0</v>
      </c>
      <c r="I1706" t="s">
        <v>6</v>
      </c>
      <c r="J1706">
        <v>34.4</v>
      </c>
      <c r="K1706">
        <v>24.3</v>
      </c>
      <c r="L1706">
        <v>28.3</v>
      </c>
      <c r="M1706" t="str">
        <f t="shared" si="107"/>
        <v/>
      </c>
    </row>
    <row r="1707" spans="1:13" x14ac:dyDescent="0.2">
      <c r="A1707" s="9">
        <v>44445</v>
      </c>
      <c r="B1707">
        <f t="shared" si="104"/>
        <v>6</v>
      </c>
      <c r="C1707">
        <f t="shared" si="105"/>
        <v>9</v>
      </c>
      <c r="D1707">
        <f t="shared" si="106"/>
        <v>2021</v>
      </c>
      <c r="E1707" s="11">
        <v>3.1309999999999998</v>
      </c>
      <c r="F1707" s="11">
        <v>101.54900000000001</v>
      </c>
      <c r="G1707" s="11">
        <v>27.4</v>
      </c>
      <c r="H1707" s="1" t="s">
        <v>0</v>
      </c>
      <c r="I1707" t="s">
        <v>6</v>
      </c>
      <c r="J1707" t="s">
        <v>6</v>
      </c>
      <c r="K1707">
        <v>25.1</v>
      </c>
      <c r="L1707">
        <v>27.5</v>
      </c>
      <c r="M1707" t="str">
        <f t="shared" si="107"/>
        <v/>
      </c>
    </row>
    <row r="1708" spans="1:13" x14ac:dyDescent="0.2">
      <c r="A1708" s="9">
        <v>44446</v>
      </c>
      <c r="B1708">
        <f t="shared" si="104"/>
        <v>7</v>
      </c>
      <c r="C1708">
        <f t="shared" si="105"/>
        <v>9</v>
      </c>
      <c r="D1708">
        <f t="shared" si="106"/>
        <v>2021</v>
      </c>
      <c r="E1708" s="11">
        <v>3.1309999999999998</v>
      </c>
      <c r="F1708" s="11">
        <v>101.54900000000001</v>
      </c>
      <c r="G1708" s="11">
        <v>27.4</v>
      </c>
      <c r="H1708" s="1" t="s">
        <v>0</v>
      </c>
      <c r="I1708" t="s">
        <v>6</v>
      </c>
      <c r="J1708" t="s">
        <v>6</v>
      </c>
      <c r="K1708">
        <v>25.5</v>
      </c>
      <c r="L1708">
        <v>29.4</v>
      </c>
      <c r="M1708" t="str">
        <f t="shared" si="107"/>
        <v/>
      </c>
    </row>
    <row r="1709" spans="1:13" x14ac:dyDescent="0.2">
      <c r="A1709" s="9">
        <v>44447</v>
      </c>
      <c r="B1709">
        <f t="shared" si="104"/>
        <v>8</v>
      </c>
      <c r="C1709">
        <f t="shared" si="105"/>
        <v>9</v>
      </c>
      <c r="D1709">
        <f t="shared" si="106"/>
        <v>2021</v>
      </c>
      <c r="E1709" s="11">
        <v>3.1309999999999998</v>
      </c>
      <c r="F1709" s="11">
        <v>101.54900000000001</v>
      </c>
      <c r="G1709" s="11">
        <v>27.4</v>
      </c>
      <c r="H1709" s="1" t="s">
        <v>0</v>
      </c>
      <c r="I1709">
        <v>0</v>
      </c>
      <c r="J1709" t="s">
        <v>6</v>
      </c>
      <c r="K1709" t="s">
        <v>6</v>
      </c>
      <c r="L1709">
        <v>28.3</v>
      </c>
      <c r="M1709">
        <f t="shared" si="107"/>
        <v>0</v>
      </c>
    </row>
    <row r="1710" spans="1:13" x14ac:dyDescent="0.2">
      <c r="A1710" s="9">
        <v>44448</v>
      </c>
      <c r="B1710">
        <f t="shared" si="104"/>
        <v>9</v>
      </c>
      <c r="C1710">
        <f t="shared" si="105"/>
        <v>9</v>
      </c>
      <c r="D1710">
        <f t="shared" si="106"/>
        <v>2021</v>
      </c>
      <c r="E1710" s="11">
        <v>3.1309999999999998</v>
      </c>
      <c r="F1710" s="11">
        <v>101.54900000000001</v>
      </c>
      <c r="G1710" s="11">
        <v>27.4</v>
      </c>
      <c r="H1710" s="1" t="s">
        <v>0</v>
      </c>
      <c r="I1710">
        <v>12.7</v>
      </c>
      <c r="J1710" t="s">
        <v>6</v>
      </c>
      <c r="K1710">
        <v>23.6</v>
      </c>
      <c r="L1710">
        <v>27.9</v>
      </c>
      <c r="M1710">
        <f t="shared" si="107"/>
        <v>1</v>
      </c>
    </row>
    <row r="1711" spans="1:13" x14ac:dyDescent="0.2">
      <c r="A1711" s="9">
        <v>44449</v>
      </c>
      <c r="B1711">
        <f t="shared" si="104"/>
        <v>10</v>
      </c>
      <c r="C1711">
        <f t="shared" si="105"/>
        <v>9</v>
      </c>
      <c r="D1711">
        <f t="shared" si="106"/>
        <v>2021</v>
      </c>
      <c r="E1711" s="11">
        <v>3.1309999999999998</v>
      </c>
      <c r="F1711" s="11">
        <v>101.54900000000001</v>
      </c>
      <c r="G1711" s="11">
        <v>27.4</v>
      </c>
      <c r="H1711" s="1" t="s">
        <v>0</v>
      </c>
      <c r="I1711">
        <v>15</v>
      </c>
      <c r="J1711" t="s">
        <v>6</v>
      </c>
      <c r="K1711">
        <v>24.5</v>
      </c>
      <c r="L1711">
        <v>28.7</v>
      </c>
      <c r="M1711">
        <f t="shared" si="107"/>
        <v>1</v>
      </c>
    </row>
    <row r="1712" spans="1:13" x14ac:dyDescent="0.2">
      <c r="A1712" s="9">
        <v>44450</v>
      </c>
      <c r="B1712">
        <f t="shared" si="104"/>
        <v>11</v>
      </c>
      <c r="C1712">
        <f t="shared" si="105"/>
        <v>9</v>
      </c>
      <c r="D1712">
        <f t="shared" si="106"/>
        <v>2021</v>
      </c>
      <c r="E1712" s="11">
        <v>3.1309999999999998</v>
      </c>
      <c r="F1712" s="11">
        <v>101.54900000000001</v>
      </c>
      <c r="G1712" s="11">
        <v>27.4</v>
      </c>
      <c r="H1712" s="1" t="s">
        <v>0</v>
      </c>
      <c r="I1712">
        <v>0</v>
      </c>
      <c r="J1712" t="s">
        <v>6</v>
      </c>
      <c r="K1712" t="s">
        <v>6</v>
      </c>
      <c r="L1712">
        <v>29.7</v>
      </c>
      <c r="M1712">
        <f t="shared" si="107"/>
        <v>0</v>
      </c>
    </row>
    <row r="1713" spans="1:13" x14ac:dyDescent="0.2">
      <c r="A1713" s="9">
        <v>44451</v>
      </c>
      <c r="B1713">
        <f t="shared" si="104"/>
        <v>12</v>
      </c>
      <c r="C1713">
        <f t="shared" si="105"/>
        <v>9</v>
      </c>
      <c r="D1713">
        <f t="shared" si="106"/>
        <v>2021</v>
      </c>
      <c r="E1713" s="11">
        <v>3.1309999999999998</v>
      </c>
      <c r="F1713" s="11">
        <v>101.54900000000001</v>
      </c>
      <c r="G1713" s="11">
        <v>27.4</v>
      </c>
      <c r="H1713" s="1" t="s">
        <v>0</v>
      </c>
      <c r="I1713" t="s">
        <v>6</v>
      </c>
      <c r="J1713" t="s">
        <v>6</v>
      </c>
      <c r="K1713">
        <v>24.9</v>
      </c>
      <c r="L1713">
        <v>28.3</v>
      </c>
      <c r="M1713" t="str">
        <f t="shared" si="107"/>
        <v/>
      </c>
    </row>
    <row r="1714" spans="1:13" x14ac:dyDescent="0.2">
      <c r="A1714" s="9">
        <v>44452</v>
      </c>
      <c r="B1714">
        <f t="shared" si="104"/>
        <v>13</v>
      </c>
      <c r="C1714">
        <f t="shared" si="105"/>
        <v>9</v>
      </c>
      <c r="D1714">
        <f t="shared" si="106"/>
        <v>2021</v>
      </c>
      <c r="E1714" s="11">
        <v>3.1309999999999998</v>
      </c>
      <c r="F1714" s="11">
        <v>101.54900000000001</v>
      </c>
      <c r="G1714" s="11">
        <v>27.4</v>
      </c>
      <c r="H1714" s="1" t="s">
        <v>0</v>
      </c>
      <c r="I1714">
        <v>7.4</v>
      </c>
      <c r="J1714" t="s">
        <v>6</v>
      </c>
      <c r="K1714" t="s">
        <v>6</v>
      </c>
      <c r="L1714">
        <v>26.5</v>
      </c>
      <c r="M1714">
        <f t="shared" si="107"/>
        <v>1</v>
      </c>
    </row>
    <row r="1715" spans="1:13" x14ac:dyDescent="0.2">
      <c r="A1715" s="9">
        <v>44453</v>
      </c>
      <c r="B1715">
        <f t="shared" si="104"/>
        <v>14</v>
      </c>
      <c r="C1715">
        <f t="shared" si="105"/>
        <v>9</v>
      </c>
      <c r="D1715">
        <f t="shared" si="106"/>
        <v>2021</v>
      </c>
      <c r="E1715" s="11">
        <v>3.1309999999999998</v>
      </c>
      <c r="F1715" s="11">
        <v>101.54900000000001</v>
      </c>
      <c r="G1715" s="11">
        <v>27.4</v>
      </c>
      <c r="H1715" s="1" t="s">
        <v>0</v>
      </c>
      <c r="I1715">
        <v>8.9</v>
      </c>
      <c r="J1715" t="s">
        <v>6</v>
      </c>
      <c r="K1715">
        <v>23.1</v>
      </c>
      <c r="L1715">
        <v>29.2</v>
      </c>
      <c r="M1715">
        <f t="shared" si="107"/>
        <v>1</v>
      </c>
    </row>
    <row r="1716" spans="1:13" x14ac:dyDescent="0.2">
      <c r="A1716" s="9">
        <v>44454</v>
      </c>
      <c r="B1716">
        <f t="shared" si="104"/>
        <v>15</v>
      </c>
      <c r="C1716">
        <f t="shared" si="105"/>
        <v>9</v>
      </c>
      <c r="D1716">
        <f t="shared" si="106"/>
        <v>2021</v>
      </c>
      <c r="E1716" s="11">
        <v>3.1309999999999998</v>
      </c>
      <c r="F1716" s="11">
        <v>101.54900000000001</v>
      </c>
      <c r="G1716" s="11">
        <v>27.4</v>
      </c>
      <c r="H1716" s="1" t="s">
        <v>0</v>
      </c>
      <c r="I1716">
        <v>0</v>
      </c>
      <c r="J1716" t="s">
        <v>6</v>
      </c>
      <c r="K1716" t="s">
        <v>6</v>
      </c>
      <c r="L1716">
        <v>26.8</v>
      </c>
      <c r="M1716">
        <f t="shared" si="107"/>
        <v>0</v>
      </c>
    </row>
    <row r="1717" spans="1:13" x14ac:dyDescent="0.2">
      <c r="A1717" s="9">
        <v>44455</v>
      </c>
      <c r="B1717">
        <f t="shared" si="104"/>
        <v>16</v>
      </c>
      <c r="C1717">
        <f t="shared" si="105"/>
        <v>9</v>
      </c>
      <c r="D1717">
        <f t="shared" si="106"/>
        <v>2021</v>
      </c>
      <c r="E1717" s="11">
        <v>3.1309999999999998</v>
      </c>
      <c r="F1717" s="11">
        <v>101.54900000000001</v>
      </c>
      <c r="G1717" s="11">
        <v>27.4</v>
      </c>
      <c r="H1717" s="1" t="s">
        <v>0</v>
      </c>
      <c r="I1717">
        <v>5.0999999999999996</v>
      </c>
      <c r="J1717" t="s">
        <v>6</v>
      </c>
      <c r="K1717" t="s">
        <v>6</v>
      </c>
      <c r="L1717">
        <v>28.7</v>
      </c>
      <c r="M1717">
        <f t="shared" si="107"/>
        <v>1</v>
      </c>
    </row>
    <row r="1718" spans="1:13" x14ac:dyDescent="0.2">
      <c r="A1718" s="9">
        <v>44456</v>
      </c>
      <c r="B1718">
        <f t="shared" si="104"/>
        <v>17</v>
      </c>
      <c r="C1718">
        <f t="shared" si="105"/>
        <v>9</v>
      </c>
      <c r="D1718">
        <f t="shared" si="106"/>
        <v>2021</v>
      </c>
      <c r="E1718" s="11">
        <v>3.1309999999999998</v>
      </c>
      <c r="F1718" s="11">
        <v>101.54900000000001</v>
      </c>
      <c r="G1718" s="11">
        <v>27.4</v>
      </c>
      <c r="H1718" s="1" t="s">
        <v>0</v>
      </c>
      <c r="I1718">
        <v>0</v>
      </c>
      <c r="J1718" t="s">
        <v>6</v>
      </c>
      <c r="K1718" t="s">
        <v>6</v>
      </c>
      <c r="L1718">
        <v>28.8</v>
      </c>
      <c r="M1718">
        <f t="shared" si="107"/>
        <v>0</v>
      </c>
    </row>
    <row r="1719" spans="1:13" x14ac:dyDescent="0.2">
      <c r="A1719" s="9">
        <v>44457</v>
      </c>
      <c r="B1719">
        <f t="shared" si="104"/>
        <v>18</v>
      </c>
      <c r="C1719">
        <f t="shared" si="105"/>
        <v>9</v>
      </c>
      <c r="D1719">
        <f t="shared" si="106"/>
        <v>2021</v>
      </c>
      <c r="E1719" s="11">
        <v>3.1309999999999998</v>
      </c>
      <c r="F1719" s="11">
        <v>101.54900000000001</v>
      </c>
      <c r="G1719" s="11">
        <v>27.4</v>
      </c>
      <c r="H1719" s="1" t="s">
        <v>0</v>
      </c>
      <c r="I1719">
        <v>9.9</v>
      </c>
      <c r="J1719" t="s">
        <v>6</v>
      </c>
      <c r="K1719" t="s">
        <v>6</v>
      </c>
      <c r="L1719">
        <v>26.1</v>
      </c>
      <c r="M1719">
        <f t="shared" si="107"/>
        <v>1</v>
      </c>
    </row>
    <row r="1720" spans="1:13" x14ac:dyDescent="0.2">
      <c r="A1720" s="9">
        <v>44458</v>
      </c>
      <c r="B1720">
        <f t="shared" si="104"/>
        <v>19</v>
      </c>
      <c r="C1720">
        <f t="shared" si="105"/>
        <v>9</v>
      </c>
      <c r="D1720">
        <f t="shared" si="106"/>
        <v>2021</v>
      </c>
      <c r="E1720" s="11">
        <v>3.1309999999999998</v>
      </c>
      <c r="F1720" s="11">
        <v>101.54900000000001</v>
      </c>
      <c r="G1720" s="11">
        <v>27.4</v>
      </c>
      <c r="H1720" s="1" t="s">
        <v>0</v>
      </c>
      <c r="I1720">
        <v>34</v>
      </c>
      <c r="J1720" t="s">
        <v>6</v>
      </c>
      <c r="K1720" t="s">
        <v>6</v>
      </c>
      <c r="L1720">
        <v>25.1</v>
      </c>
      <c r="M1720">
        <f t="shared" si="107"/>
        <v>1</v>
      </c>
    </row>
    <row r="1721" spans="1:13" x14ac:dyDescent="0.2">
      <c r="A1721" s="9">
        <v>44459</v>
      </c>
      <c r="B1721">
        <f t="shared" si="104"/>
        <v>20</v>
      </c>
      <c r="C1721">
        <f t="shared" si="105"/>
        <v>9</v>
      </c>
      <c r="D1721">
        <f t="shared" si="106"/>
        <v>2021</v>
      </c>
      <c r="E1721" s="11">
        <v>3.1309999999999998</v>
      </c>
      <c r="F1721" s="11">
        <v>101.54900000000001</v>
      </c>
      <c r="G1721" s="11">
        <v>27.4</v>
      </c>
      <c r="H1721" s="1" t="s">
        <v>0</v>
      </c>
      <c r="I1721">
        <v>88.9</v>
      </c>
      <c r="J1721" t="s">
        <v>6</v>
      </c>
      <c r="K1721" t="s">
        <v>6</v>
      </c>
      <c r="L1721">
        <v>28.4</v>
      </c>
      <c r="M1721">
        <f t="shared" si="107"/>
        <v>1</v>
      </c>
    </row>
    <row r="1722" spans="1:13" x14ac:dyDescent="0.2">
      <c r="A1722" s="9">
        <v>44460</v>
      </c>
      <c r="B1722">
        <f t="shared" si="104"/>
        <v>21</v>
      </c>
      <c r="C1722">
        <f t="shared" si="105"/>
        <v>9</v>
      </c>
      <c r="D1722">
        <f t="shared" si="106"/>
        <v>2021</v>
      </c>
      <c r="E1722" s="11">
        <v>3.1309999999999998</v>
      </c>
      <c r="F1722" s="11">
        <v>101.54900000000001</v>
      </c>
      <c r="G1722" s="11">
        <v>27.4</v>
      </c>
      <c r="H1722" s="1" t="s">
        <v>0</v>
      </c>
      <c r="I1722">
        <v>0</v>
      </c>
      <c r="J1722">
        <v>34.299999999999997</v>
      </c>
      <c r="K1722" t="s">
        <v>6</v>
      </c>
      <c r="L1722">
        <v>28.7</v>
      </c>
      <c r="M1722">
        <f t="shared" si="107"/>
        <v>0</v>
      </c>
    </row>
    <row r="1723" spans="1:13" x14ac:dyDescent="0.2">
      <c r="A1723" s="9">
        <v>44461</v>
      </c>
      <c r="B1723">
        <f t="shared" si="104"/>
        <v>22</v>
      </c>
      <c r="C1723">
        <f t="shared" si="105"/>
        <v>9</v>
      </c>
      <c r="D1723">
        <f t="shared" si="106"/>
        <v>2021</v>
      </c>
      <c r="E1723" s="11">
        <v>3.1309999999999998</v>
      </c>
      <c r="F1723" s="11">
        <v>101.54900000000001</v>
      </c>
      <c r="G1723" s="11">
        <v>27.4</v>
      </c>
      <c r="H1723" s="1" t="s">
        <v>0</v>
      </c>
      <c r="I1723">
        <v>36.1</v>
      </c>
      <c r="J1723" t="s">
        <v>6</v>
      </c>
      <c r="K1723">
        <v>21.9</v>
      </c>
      <c r="L1723">
        <v>28</v>
      </c>
      <c r="M1723">
        <f t="shared" si="107"/>
        <v>1</v>
      </c>
    </row>
    <row r="1724" spans="1:13" x14ac:dyDescent="0.2">
      <c r="A1724" s="9">
        <v>44462</v>
      </c>
      <c r="B1724">
        <f t="shared" si="104"/>
        <v>23</v>
      </c>
      <c r="C1724">
        <f t="shared" si="105"/>
        <v>9</v>
      </c>
      <c r="D1724">
        <f t="shared" si="106"/>
        <v>2021</v>
      </c>
      <c r="E1724" s="11">
        <v>3.1309999999999998</v>
      </c>
      <c r="F1724" s="11">
        <v>101.54900000000001</v>
      </c>
      <c r="G1724" s="11">
        <v>27.4</v>
      </c>
      <c r="H1724" s="1" t="s">
        <v>0</v>
      </c>
      <c r="I1724">
        <v>0.3</v>
      </c>
      <c r="J1724" t="s">
        <v>6</v>
      </c>
      <c r="K1724">
        <v>23.4</v>
      </c>
      <c r="L1724">
        <v>29.7</v>
      </c>
      <c r="M1724">
        <f t="shared" si="107"/>
        <v>1</v>
      </c>
    </row>
    <row r="1725" spans="1:13" x14ac:dyDescent="0.2">
      <c r="A1725" s="9">
        <v>44463</v>
      </c>
      <c r="B1725">
        <f t="shared" si="104"/>
        <v>24</v>
      </c>
      <c r="C1725">
        <f t="shared" si="105"/>
        <v>9</v>
      </c>
      <c r="D1725">
        <f t="shared" si="106"/>
        <v>2021</v>
      </c>
      <c r="E1725" s="11">
        <v>3.1309999999999998</v>
      </c>
      <c r="F1725" s="11">
        <v>101.54900000000001</v>
      </c>
      <c r="G1725" s="11">
        <v>27.4</v>
      </c>
      <c r="H1725" s="1" t="s">
        <v>0</v>
      </c>
      <c r="I1725">
        <v>0</v>
      </c>
      <c r="J1725" t="s">
        <v>6</v>
      </c>
      <c r="K1725">
        <v>24.7</v>
      </c>
      <c r="L1725">
        <v>28.8</v>
      </c>
      <c r="M1725">
        <f t="shared" si="107"/>
        <v>0</v>
      </c>
    </row>
    <row r="1726" spans="1:13" x14ac:dyDescent="0.2">
      <c r="A1726" s="9">
        <v>44464</v>
      </c>
      <c r="B1726">
        <f t="shared" si="104"/>
        <v>25</v>
      </c>
      <c r="C1726">
        <f t="shared" si="105"/>
        <v>9</v>
      </c>
      <c r="D1726">
        <f t="shared" si="106"/>
        <v>2021</v>
      </c>
      <c r="E1726" s="11">
        <v>3.1309999999999998</v>
      </c>
      <c r="F1726" s="11">
        <v>101.54900000000001</v>
      </c>
      <c r="G1726" s="11">
        <v>27.4</v>
      </c>
      <c r="H1726" s="1" t="s">
        <v>0</v>
      </c>
      <c r="I1726" t="s">
        <v>6</v>
      </c>
      <c r="J1726">
        <v>33.5</v>
      </c>
      <c r="K1726">
        <v>25.9</v>
      </c>
      <c r="L1726">
        <v>28.9</v>
      </c>
      <c r="M1726" t="str">
        <f t="shared" si="107"/>
        <v/>
      </c>
    </row>
    <row r="1727" spans="1:13" x14ac:dyDescent="0.2">
      <c r="A1727" s="9">
        <v>44465</v>
      </c>
      <c r="B1727">
        <f t="shared" si="104"/>
        <v>26</v>
      </c>
      <c r="C1727">
        <f t="shared" si="105"/>
        <v>9</v>
      </c>
      <c r="D1727">
        <f t="shared" si="106"/>
        <v>2021</v>
      </c>
      <c r="E1727" s="11">
        <v>3.1309999999999998</v>
      </c>
      <c r="F1727" s="11">
        <v>101.54900000000001</v>
      </c>
      <c r="G1727" s="11">
        <v>27.4</v>
      </c>
      <c r="H1727" s="1" t="s">
        <v>0</v>
      </c>
      <c r="I1727">
        <v>0</v>
      </c>
      <c r="J1727" t="s">
        <v>6</v>
      </c>
      <c r="K1727" t="s">
        <v>6</v>
      </c>
      <c r="L1727">
        <v>26.6</v>
      </c>
      <c r="M1727">
        <f t="shared" si="107"/>
        <v>0</v>
      </c>
    </row>
    <row r="1728" spans="1:13" x14ac:dyDescent="0.2">
      <c r="A1728" s="9">
        <v>44466</v>
      </c>
      <c r="B1728">
        <f t="shared" si="104"/>
        <v>27</v>
      </c>
      <c r="C1728">
        <f t="shared" si="105"/>
        <v>9</v>
      </c>
      <c r="D1728">
        <f t="shared" si="106"/>
        <v>2021</v>
      </c>
      <c r="E1728" s="11">
        <v>3.1309999999999998</v>
      </c>
      <c r="F1728" s="11">
        <v>101.54900000000001</v>
      </c>
      <c r="G1728" s="11">
        <v>27.4</v>
      </c>
      <c r="H1728" s="1" t="s">
        <v>0</v>
      </c>
      <c r="I1728">
        <v>65.8</v>
      </c>
      <c r="J1728" t="s">
        <v>6</v>
      </c>
      <c r="K1728">
        <v>23.2</v>
      </c>
      <c r="L1728">
        <v>27.6</v>
      </c>
      <c r="M1728">
        <f t="shared" si="107"/>
        <v>1</v>
      </c>
    </row>
    <row r="1729" spans="1:13" x14ac:dyDescent="0.2">
      <c r="A1729" s="9">
        <v>44467</v>
      </c>
      <c r="B1729">
        <f t="shared" si="104"/>
        <v>28</v>
      </c>
      <c r="C1729">
        <f t="shared" si="105"/>
        <v>9</v>
      </c>
      <c r="D1729">
        <f t="shared" si="106"/>
        <v>2021</v>
      </c>
      <c r="E1729" s="11">
        <v>3.1309999999999998</v>
      </c>
      <c r="F1729" s="11">
        <v>101.54900000000001</v>
      </c>
      <c r="G1729" s="11">
        <v>27.4</v>
      </c>
      <c r="H1729" s="1" t="s">
        <v>0</v>
      </c>
      <c r="I1729">
        <v>4.0999999999999996</v>
      </c>
      <c r="J1729" t="s">
        <v>6</v>
      </c>
      <c r="K1729">
        <v>24.1</v>
      </c>
      <c r="L1729">
        <v>27.8</v>
      </c>
      <c r="M1729">
        <f t="shared" si="107"/>
        <v>1</v>
      </c>
    </row>
    <row r="1730" spans="1:13" x14ac:dyDescent="0.2">
      <c r="A1730" s="9">
        <v>44468</v>
      </c>
      <c r="B1730">
        <f t="shared" si="104"/>
        <v>29</v>
      </c>
      <c r="C1730">
        <f t="shared" si="105"/>
        <v>9</v>
      </c>
      <c r="D1730">
        <f t="shared" si="106"/>
        <v>2021</v>
      </c>
      <c r="E1730" s="11">
        <v>3.1309999999999998</v>
      </c>
      <c r="F1730" s="11">
        <v>101.54900000000001</v>
      </c>
      <c r="G1730" s="11">
        <v>27.4</v>
      </c>
      <c r="H1730" s="1" t="s">
        <v>0</v>
      </c>
      <c r="I1730">
        <v>0.5</v>
      </c>
      <c r="J1730" t="s">
        <v>6</v>
      </c>
      <c r="K1730" t="s">
        <v>6</v>
      </c>
      <c r="L1730">
        <v>26</v>
      </c>
      <c r="M1730">
        <f t="shared" si="107"/>
        <v>1</v>
      </c>
    </row>
    <row r="1731" spans="1:13" x14ac:dyDescent="0.2">
      <c r="A1731" s="9">
        <v>44469</v>
      </c>
      <c r="B1731">
        <f t="shared" ref="B1731:B1794" si="108">DAY(A1731)</f>
        <v>30</v>
      </c>
      <c r="C1731">
        <f t="shared" ref="C1731:C1794" si="109">MONTH(A1731)</f>
        <v>9</v>
      </c>
      <c r="D1731">
        <f t="shared" ref="D1731:D1794" si="110">YEAR(A1731)</f>
        <v>2021</v>
      </c>
      <c r="E1731" s="11">
        <v>3.1309999999999998</v>
      </c>
      <c r="F1731" s="11">
        <v>101.54900000000001</v>
      </c>
      <c r="G1731" s="11">
        <v>27.4</v>
      </c>
      <c r="H1731" s="1" t="s">
        <v>0</v>
      </c>
      <c r="I1731">
        <v>7.9</v>
      </c>
      <c r="J1731" t="s">
        <v>6</v>
      </c>
      <c r="K1731">
        <v>24.2</v>
      </c>
      <c r="L1731">
        <v>27.6</v>
      </c>
      <c r="M1731">
        <f t="shared" ref="M1731:M1794" si="111">IF(ISNUMBER(I1731), IF(I1731&gt;0, 1, 0), "")</f>
        <v>1</v>
      </c>
    </row>
    <row r="1732" spans="1:13" x14ac:dyDescent="0.2">
      <c r="A1732" s="9">
        <v>44470</v>
      </c>
      <c r="B1732">
        <f t="shared" si="108"/>
        <v>1</v>
      </c>
      <c r="C1732">
        <f t="shared" si="109"/>
        <v>10</v>
      </c>
      <c r="D1732">
        <f t="shared" si="110"/>
        <v>2021</v>
      </c>
      <c r="E1732" s="11">
        <v>3.1309999999999998</v>
      </c>
      <c r="F1732" s="11">
        <v>101.54900000000001</v>
      </c>
      <c r="G1732" s="11">
        <v>27.4</v>
      </c>
      <c r="H1732" s="1" t="s">
        <v>0</v>
      </c>
      <c r="I1732">
        <v>0</v>
      </c>
      <c r="J1732">
        <v>32.5</v>
      </c>
      <c r="K1732">
        <v>24.9</v>
      </c>
      <c r="L1732">
        <v>28.4</v>
      </c>
      <c r="M1732">
        <f t="shared" si="111"/>
        <v>0</v>
      </c>
    </row>
    <row r="1733" spans="1:13" x14ac:dyDescent="0.2">
      <c r="A1733" s="9">
        <v>44471</v>
      </c>
      <c r="B1733">
        <f t="shared" si="108"/>
        <v>2</v>
      </c>
      <c r="C1733">
        <f t="shared" si="109"/>
        <v>10</v>
      </c>
      <c r="D1733">
        <f t="shared" si="110"/>
        <v>2021</v>
      </c>
      <c r="E1733" s="11">
        <v>3.1309999999999998</v>
      </c>
      <c r="F1733" s="11">
        <v>101.54900000000001</v>
      </c>
      <c r="G1733" s="11">
        <v>27.4</v>
      </c>
      <c r="H1733" s="1" t="s">
        <v>0</v>
      </c>
      <c r="I1733">
        <v>0</v>
      </c>
      <c r="J1733" t="s">
        <v>6</v>
      </c>
      <c r="K1733" t="s">
        <v>6</v>
      </c>
      <c r="L1733">
        <v>28</v>
      </c>
      <c r="M1733">
        <f t="shared" si="111"/>
        <v>0</v>
      </c>
    </row>
    <row r="1734" spans="1:13" x14ac:dyDescent="0.2">
      <c r="A1734" s="9">
        <v>44472</v>
      </c>
      <c r="B1734">
        <f t="shared" si="108"/>
        <v>3</v>
      </c>
      <c r="C1734">
        <f t="shared" si="109"/>
        <v>10</v>
      </c>
      <c r="D1734">
        <f t="shared" si="110"/>
        <v>2021</v>
      </c>
      <c r="E1734" s="11">
        <v>3.1309999999999998</v>
      </c>
      <c r="F1734" s="11">
        <v>101.54900000000001</v>
      </c>
      <c r="G1734" s="11">
        <v>27.4</v>
      </c>
      <c r="H1734" s="1" t="s">
        <v>0</v>
      </c>
      <c r="I1734">
        <v>0</v>
      </c>
      <c r="J1734" t="s">
        <v>6</v>
      </c>
      <c r="K1734">
        <v>25</v>
      </c>
      <c r="L1734">
        <v>29.3</v>
      </c>
      <c r="M1734">
        <f t="shared" si="111"/>
        <v>0</v>
      </c>
    </row>
    <row r="1735" spans="1:13" x14ac:dyDescent="0.2">
      <c r="A1735" s="9">
        <v>44473</v>
      </c>
      <c r="B1735">
        <f t="shared" si="108"/>
        <v>4</v>
      </c>
      <c r="C1735">
        <f t="shared" si="109"/>
        <v>10</v>
      </c>
      <c r="D1735">
        <f t="shared" si="110"/>
        <v>2021</v>
      </c>
      <c r="E1735" s="11">
        <v>3.1309999999999998</v>
      </c>
      <c r="F1735" s="11">
        <v>101.54900000000001</v>
      </c>
      <c r="G1735" s="11">
        <v>27.4</v>
      </c>
      <c r="H1735" s="1" t="s">
        <v>0</v>
      </c>
      <c r="I1735">
        <v>0</v>
      </c>
      <c r="J1735" t="s">
        <v>6</v>
      </c>
      <c r="K1735">
        <v>25</v>
      </c>
      <c r="L1735">
        <v>28.7</v>
      </c>
      <c r="M1735">
        <f t="shared" si="111"/>
        <v>0</v>
      </c>
    </row>
    <row r="1736" spans="1:13" x14ac:dyDescent="0.2">
      <c r="A1736" s="9">
        <v>44474</v>
      </c>
      <c r="B1736">
        <f t="shared" si="108"/>
        <v>5</v>
      </c>
      <c r="C1736">
        <f t="shared" si="109"/>
        <v>10</v>
      </c>
      <c r="D1736">
        <f t="shared" si="110"/>
        <v>2021</v>
      </c>
      <c r="E1736" s="11">
        <v>3.1309999999999998</v>
      </c>
      <c r="F1736" s="11">
        <v>101.54900000000001</v>
      </c>
      <c r="G1736" s="11">
        <v>27.4</v>
      </c>
      <c r="H1736" s="1" t="s">
        <v>0</v>
      </c>
      <c r="I1736">
        <v>0.8</v>
      </c>
      <c r="J1736" t="s">
        <v>6</v>
      </c>
      <c r="K1736" t="s">
        <v>6</v>
      </c>
      <c r="L1736">
        <v>28.2</v>
      </c>
      <c r="M1736">
        <f t="shared" si="111"/>
        <v>1</v>
      </c>
    </row>
    <row r="1737" spans="1:13" x14ac:dyDescent="0.2">
      <c r="A1737" s="9">
        <v>44475</v>
      </c>
      <c r="B1737">
        <f t="shared" si="108"/>
        <v>6</v>
      </c>
      <c r="C1737">
        <f t="shared" si="109"/>
        <v>10</v>
      </c>
      <c r="D1737">
        <f t="shared" si="110"/>
        <v>2021</v>
      </c>
      <c r="E1737" s="11">
        <v>3.1309999999999998</v>
      </c>
      <c r="F1737" s="11">
        <v>101.54900000000001</v>
      </c>
      <c r="G1737" s="11">
        <v>27.4</v>
      </c>
      <c r="H1737" s="1" t="s">
        <v>0</v>
      </c>
      <c r="I1737">
        <v>1</v>
      </c>
      <c r="J1737" t="s">
        <v>6</v>
      </c>
      <c r="K1737">
        <v>24.2</v>
      </c>
      <c r="L1737">
        <v>28.1</v>
      </c>
      <c r="M1737">
        <f t="shared" si="111"/>
        <v>1</v>
      </c>
    </row>
    <row r="1738" spans="1:13" x14ac:dyDescent="0.2">
      <c r="A1738" s="9">
        <v>44476</v>
      </c>
      <c r="B1738">
        <f t="shared" si="108"/>
        <v>7</v>
      </c>
      <c r="C1738">
        <f t="shared" si="109"/>
        <v>10</v>
      </c>
      <c r="D1738">
        <f t="shared" si="110"/>
        <v>2021</v>
      </c>
      <c r="E1738" s="11">
        <v>3.1309999999999998</v>
      </c>
      <c r="F1738" s="11">
        <v>101.54900000000001</v>
      </c>
      <c r="G1738" s="11">
        <v>27.4</v>
      </c>
      <c r="H1738" s="1" t="s">
        <v>0</v>
      </c>
      <c r="I1738">
        <v>0</v>
      </c>
      <c r="J1738" t="s">
        <v>6</v>
      </c>
      <c r="K1738">
        <v>24.9</v>
      </c>
      <c r="L1738">
        <v>28.4</v>
      </c>
      <c r="M1738">
        <f t="shared" si="111"/>
        <v>0</v>
      </c>
    </row>
    <row r="1739" spans="1:13" x14ac:dyDescent="0.2">
      <c r="A1739" s="9">
        <v>44477</v>
      </c>
      <c r="B1739">
        <f t="shared" si="108"/>
        <v>8</v>
      </c>
      <c r="C1739">
        <f t="shared" si="109"/>
        <v>10</v>
      </c>
      <c r="D1739">
        <f t="shared" si="110"/>
        <v>2021</v>
      </c>
      <c r="E1739" s="11">
        <v>3.1309999999999998</v>
      </c>
      <c r="F1739" s="11">
        <v>101.54900000000001</v>
      </c>
      <c r="G1739" s="11">
        <v>27.4</v>
      </c>
      <c r="H1739" s="1" t="s">
        <v>0</v>
      </c>
      <c r="I1739" t="s">
        <v>6</v>
      </c>
      <c r="J1739" t="s">
        <v>6</v>
      </c>
      <c r="K1739" t="s">
        <v>6</v>
      </c>
      <c r="L1739">
        <v>30</v>
      </c>
      <c r="M1739" t="str">
        <f t="shared" si="111"/>
        <v/>
      </c>
    </row>
    <row r="1740" spans="1:13" x14ac:dyDescent="0.2">
      <c r="A1740" s="9">
        <v>44478</v>
      </c>
      <c r="B1740">
        <f t="shared" si="108"/>
        <v>9</v>
      </c>
      <c r="C1740">
        <f t="shared" si="109"/>
        <v>10</v>
      </c>
      <c r="D1740">
        <f t="shared" si="110"/>
        <v>2021</v>
      </c>
      <c r="E1740" s="11">
        <v>3.1309999999999998</v>
      </c>
      <c r="F1740" s="11">
        <v>101.54900000000001</v>
      </c>
      <c r="G1740" s="11">
        <v>27.4</v>
      </c>
      <c r="H1740" s="1" t="s">
        <v>0</v>
      </c>
      <c r="I1740" t="s">
        <v>6</v>
      </c>
      <c r="J1740" t="s">
        <v>6</v>
      </c>
      <c r="K1740">
        <v>25.2</v>
      </c>
      <c r="L1740">
        <v>30.3</v>
      </c>
      <c r="M1740" t="str">
        <f t="shared" si="111"/>
        <v/>
      </c>
    </row>
    <row r="1741" spans="1:13" x14ac:dyDescent="0.2">
      <c r="A1741" s="9">
        <v>44479</v>
      </c>
      <c r="B1741">
        <f t="shared" si="108"/>
        <v>10</v>
      </c>
      <c r="C1741">
        <f t="shared" si="109"/>
        <v>10</v>
      </c>
      <c r="D1741">
        <f t="shared" si="110"/>
        <v>2021</v>
      </c>
      <c r="E1741" s="11">
        <v>3.1309999999999998</v>
      </c>
      <c r="F1741" s="11">
        <v>101.54900000000001</v>
      </c>
      <c r="G1741" s="11">
        <v>27.4</v>
      </c>
      <c r="H1741" s="1" t="s">
        <v>0</v>
      </c>
      <c r="I1741">
        <v>0</v>
      </c>
      <c r="J1741" t="s">
        <v>6</v>
      </c>
      <c r="K1741">
        <v>26.4</v>
      </c>
      <c r="L1741">
        <v>30</v>
      </c>
      <c r="M1741">
        <f t="shared" si="111"/>
        <v>0</v>
      </c>
    </row>
    <row r="1742" spans="1:13" x14ac:dyDescent="0.2">
      <c r="A1742" s="9">
        <v>44480</v>
      </c>
      <c r="B1742">
        <f t="shared" si="108"/>
        <v>11</v>
      </c>
      <c r="C1742">
        <f t="shared" si="109"/>
        <v>10</v>
      </c>
      <c r="D1742">
        <f t="shared" si="110"/>
        <v>2021</v>
      </c>
      <c r="E1742" s="11">
        <v>3.1309999999999998</v>
      </c>
      <c r="F1742" s="11">
        <v>101.54900000000001</v>
      </c>
      <c r="G1742" s="11">
        <v>27.4</v>
      </c>
      <c r="H1742" s="1" t="s">
        <v>0</v>
      </c>
      <c r="I1742" t="s">
        <v>6</v>
      </c>
      <c r="J1742" t="s">
        <v>6</v>
      </c>
      <c r="K1742" t="s">
        <v>6</v>
      </c>
      <c r="L1742">
        <v>30.2</v>
      </c>
      <c r="M1742" t="str">
        <f t="shared" si="111"/>
        <v/>
      </c>
    </row>
    <row r="1743" spans="1:13" x14ac:dyDescent="0.2">
      <c r="A1743" s="9">
        <v>44481</v>
      </c>
      <c r="B1743">
        <f t="shared" si="108"/>
        <v>12</v>
      </c>
      <c r="C1743">
        <f t="shared" si="109"/>
        <v>10</v>
      </c>
      <c r="D1743">
        <f t="shared" si="110"/>
        <v>2021</v>
      </c>
      <c r="E1743" s="11">
        <v>3.1309999999999998</v>
      </c>
      <c r="F1743" s="11">
        <v>101.54900000000001</v>
      </c>
      <c r="G1743" s="11">
        <v>27.4</v>
      </c>
      <c r="H1743" s="1" t="s">
        <v>0</v>
      </c>
      <c r="I1743" t="s">
        <v>6</v>
      </c>
      <c r="J1743" t="s">
        <v>6</v>
      </c>
      <c r="K1743">
        <v>26.3</v>
      </c>
      <c r="L1743">
        <v>30.4</v>
      </c>
      <c r="M1743" t="str">
        <f t="shared" si="111"/>
        <v/>
      </c>
    </row>
    <row r="1744" spans="1:13" x14ac:dyDescent="0.2">
      <c r="A1744" s="9">
        <v>44482</v>
      </c>
      <c r="B1744">
        <f t="shared" si="108"/>
        <v>13</v>
      </c>
      <c r="C1744">
        <f t="shared" si="109"/>
        <v>10</v>
      </c>
      <c r="D1744">
        <f t="shared" si="110"/>
        <v>2021</v>
      </c>
      <c r="E1744" s="11">
        <v>3.1309999999999998</v>
      </c>
      <c r="F1744" s="11">
        <v>101.54900000000001</v>
      </c>
      <c r="G1744" s="11">
        <v>27.4</v>
      </c>
      <c r="H1744" s="1" t="s">
        <v>0</v>
      </c>
      <c r="I1744" t="s">
        <v>6</v>
      </c>
      <c r="J1744" t="s">
        <v>6</v>
      </c>
      <c r="K1744" t="s">
        <v>6</v>
      </c>
      <c r="L1744">
        <v>30.4</v>
      </c>
      <c r="M1744" t="str">
        <f t="shared" si="111"/>
        <v/>
      </c>
    </row>
    <row r="1745" spans="1:13" x14ac:dyDescent="0.2">
      <c r="A1745" s="9">
        <v>44483</v>
      </c>
      <c r="B1745">
        <f t="shared" si="108"/>
        <v>14</v>
      </c>
      <c r="C1745">
        <f t="shared" si="109"/>
        <v>10</v>
      </c>
      <c r="D1745">
        <f t="shared" si="110"/>
        <v>2021</v>
      </c>
      <c r="E1745" s="11">
        <v>3.1309999999999998</v>
      </c>
      <c r="F1745" s="11">
        <v>101.54900000000001</v>
      </c>
      <c r="G1745" s="11">
        <v>27.4</v>
      </c>
      <c r="H1745" s="1" t="s">
        <v>0</v>
      </c>
      <c r="I1745" t="s">
        <v>6</v>
      </c>
      <c r="J1745" t="s">
        <v>6</v>
      </c>
      <c r="K1745" t="s">
        <v>6</v>
      </c>
      <c r="L1745">
        <v>29.9</v>
      </c>
      <c r="M1745" t="str">
        <f t="shared" si="111"/>
        <v/>
      </c>
    </row>
    <row r="1746" spans="1:13" x14ac:dyDescent="0.2">
      <c r="A1746" s="9">
        <v>44484</v>
      </c>
      <c r="B1746">
        <f t="shared" si="108"/>
        <v>15</v>
      </c>
      <c r="C1746">
        <f t="shared" si="109"/>
        <v>10</v>
      </c>
      <c r="D1746">
        <f t="shared" si="110"/>
        <v>2021</v>
      </c>
      <c r="E1746" s="11">
        <v>3.1309999999999998</v>
      </c>
      <c r="F1746" s="11">
        <v>101.54900000000001</v>
      </c>
      <c r="G1746" s="11">
        <v>27.4</v>
      </c>
      <c r="H1746" s="1" t="s">
        <v>0</v>
      </c>
      <c r="I1746" t="s">
        <v>6</v>
      </c>
      <c r="J1746" t="s">
        <v>6</v>
      </c>
      <c r="K1746" t="s">
        <v>6</v>
      </c>
      <c r="L1746">
        <v>30.3</v>
      </c>
      <c r="M1746" t="str">
        <f t="shared" si="111"/>
        <v/>
      </c>
    </row>
    <row r="1747" spans="1:13" x14ac:dyDescent="0.2">
      <c r="A1747" s="9">
        <v>44485</v>
      </c>
      <c r="B1747">
        <f t="shared" si="108"/>
        <v>16</v>
      </c>
      <c r="C1747">
        <f t="shared" si="109"/>
        <v>10</v>
      </c>
      <c r="D1747">
        <f t="shared" si="110"/>
        <v>2021</v>
      </c>
      <c r="E1747" s="11">
        <v>3.1309999999999998</v>
      </c>
      <c r="F1747" s="11">
        <v>101.54900000000001</v>
      </c>
      <c r="G1747" s="11">
        <v>27.4</v>
      </c>
      <c r="H1747" s="1" t="s">
        <v>0</v>
      </c>
      <c r="I1747">
        <v>0</v>
      </c>
      <c r="J1747" t="s">
        <v>6</v>
      </c>
      <c r="K1747">
        <v>25.9</v>
      </c>
      <c r="L1747">
        <v>30.2</v>
      </c>
      <c r="M1747">
        <f t="shared" si="111"/>
        <v>0</v>
      </c>
    </row>
    <row r="1748" spans="1:13" x14ac:dyDescent="0.2">
      <c r="A1748" s="9">
        <v>44486</v>
      </c>
      <c r="B1748">
        <f t="shared" si="108"/>
        <v>17</v>
      </c>
      <c r="C1748">
        <f t="shared" si="109"/>
        <v>10</v>
      </c>
      <c r="D1748">
        <f t="shared" si="110"/>
        <v>2021</v>
      </c>
      <c r="E1748" s="11">
        <v>3.1309999999999998</v>
      </c>
      <c r="F1748" s="11">
        <v>101.54900000000001</v>
      </c>
      <c r="G1748" s="11">
        <v>27.4</v>
      </c>
      <c r="H1748" s="1" t="s">
        <v>0</v>
      </c>
      <c r="I1748" t="s">
        <v>6</v>
      </c>
      <c r="J1748" t="s">
        <v>6</v>
      </c>
      <c r="K1748" t="s">
        <v>6</v>
      </c>
      <c r="L1748">
        <v>26.5</v>
      </c>
      <c r="M1748" t="str">
        <f t="shared" si="111"/>
        <v/>
      </c>
    </row>
    <row r="1749" spans="1:13" x14ac:dyDescent="0.2">
      <c r="A1749" s="9">
        <v>44487</v>
      </c>
      <c r="B1749">
        <f t="shared" si="108"/>
        <v>18</v>
      </c>
      <c r="C1749">
        <f t="shared" si="109"/>
        <v>10</v>
      </c>
      <c r="D1749">
        <f t="shared" si="110"/>
        <v>2021</v>
      </c>
      <c r="E1749" s="11">
        <v>3.1309999999999998</v>
      </c>
      <c r="F1749" s="11">
        <v>101.54900000000001</v>
      </c>
      <c r="G1749" s="11">
        <v>27.4</v>
      </c>
      <c r="H1749" s="1" t="s">
        <v>0</v>
      </c>
      <c r="I1749" t="s">
        <v>6</v>
      </c>
      <c r="J1749" t="s">
        <v>6</v>
      </c>
      <c r="K1749">
        <v>24</v>
      </c>
      <c r="L1749">
        <v>28.4</v>
      </c>
      <c r="M1749" t="str">
        <f t="shared" si="111"/>
        <v/>
      </c>
    </row>
    <row r="1750" spans="1:13" x14ac:dyDescent="0.2">
      <c r="A1750" s="9">
        <v>44488</v>
      </c>
      <c r="B1750">
        <f t="shared" si="108"/>
        <v>19</v>
      </c>
      <c r="C1750">
        <f t="shared" si="109"/>
        <v>10</v>
      </c>
      <c r="D1750">
        <f t="shared" si="110"/>
        <v>2021</v>
      </c>
      <c r="E1750" s="11">
        <v>3.1309999999999998</v>
      </c>
      <c r="F1750" s="11">
        <v>101.54900000000001</v>
      </c>
      <c r="G1750" s="11">
        <v>27.4</v>
      </c>
      <c r="H1750" s="1" t="s">
        <v>0</v>
      </c>
      <c r="I1750" t="s">
        <v>6</v>
      </c>
      <c r="J1750" t="s">
        <v>6</v>
      </c>
      <c r="K1750">
        <v>24.9</v>
      </c>
      <c r="L1750">
        <v>28.1</v>
      </c>
      <c r="M1750" t="str">
        <f t="shared" si="111"/>
        <v/>
      </c>
    </row>
    <row r="1751" spans="1:13" x14ac:dyDescent="0.2">
      <c r="A1751" s="9">
        <v>44489</v>
      </c>
      <c r="B1751">
        <f t="shared" si="108"/>
        <v>20</v>
      </c>
      <c r="C1751">
        <f t="shared" si="109"/>
        <v>10</v>
      </c>
      <c r="D1751">
        <f t="shared" si="110"/>
        <v>2021</v>
      </c>
      <c r="E1751" s="11">
        <v>3.1309999999999998</v>
      </c>
      <c r="F1751" s="11">
        <v>101.54900000000001</v>
      </c>
      <c r="G1751" s="11">
        <v>27.4</v>
      </c>
      <c r="H1751" s="1" t="s">
        <v>0</v>
      </c>
      <c r="I1751" t="s">
        <v>6</v>
      </c>
      <c r="J1751" t="s">
        <v>6</v>
      </c>
      <c r="K1751" t="s">
        <v>6</v>
      </c>
      <c r="L1751">
        <v>25.1</v>
      </c>
      <c r="M1751" t="str">
        <f t="shared" si="111"/>
        <v/>
      </c>
    </row>
    <row r="1752" spans="1:13" x14ac:dyDescent="0.2">
      <c r="A1752" s="9">
        <v>44490</v>
      </c>
      <c r="B1752">
        <f t="shared" si="108"/>
        <v>21</v>
      </c>
      <c r="C1752">
        <f t="shared" si="109"/>
        <v>10</v>
      </c>
      <c r="D1752">
        <f t="shared" si="110"/>
        <v>2021</v>
      </c>
      <c r="E1752" s="11">
        <v>3.1309999999999998</v>
      </c>
      <c r="F1752" s="11">
        <v>101.54900000000001</v>
      </c>
      <c r="G1752" s="11">
        <v>27.4</v>
      </c>
      <c r="H1752" s="1" t="s">
        <v>0</v>
      </c>
      <c r="I1752" t="s">
        <v>6</v>
      </c>
      <c r="J1752" t="s">
        <v>6</v>
      </c>
      <c r="K1752">
        <v>23.3</v>
      </c>
      <c r="L1752">
        <v>28.3</v>
      </c>
      <c r="M1752" t="str">
        <f t="shared" si="111"/>
        <v/>
      </c>
    </row>
    <row r="1753" spans="1:13" x14ac:dyDescent="0.2">
      <c r="A1753" s="9">
        <v>44491</v>
      </c>
      <c r="B1753">
        <f t="shared" si="108"/>
        <v>22</v>
      </c>
      <c r="C1753">
        <f t="shared" si="109"/>
        <v>10</v>
      </c>
      <c r="D1753">
        <f t="shared" si="110"/>
        <v>2021</v>
      </c>
      <c r="E1753" s="11">
        <v>3.1309999999999998</v>
      </c>
      <c r="F1753" s="11">
        <v>101.54900000000001</v>
      </c>
      <c r="G1753" s="11">
        <v>27.4</v>
      </c>
      <c r="H1753" s="1" t="s">
        <v>0</v>
      </c>
      <c r="I1753" t="s">
        <v>6</v>
      </c>
      <c r="J1753" t="s">
        <v>6</v>
      </c>
      <c r="K1753">
        <v>24</v>
      </c>
      <c r="L1753">
        <v>28.8</v>
      </c>
      <c r="M1753" t="str">
        <f t="shared" si="111"/>
        <v/>
      </c>
    </row>
    <row r="1754" spans="1:13" x14ac:dyDescent="0.2">
      <c r="A1754" s="9">
        <v>44492</v>
      </c>
      <c r="B1754">
        <f t="shared" si="108"/>
        <v>23</v>
      </c>
      <c r="C1754">
        <f t="shared" si="109"/>
        <v>10</v>
      </c>
      <c r="D1754">
        <f t="shared" si="110"/>
        <v>2021</v>
      </c>
      <c r="E1754" s="11">
        <v>3.1309999999999998</v>
      </c>
      <c r="F1754" s="11">
        <v>101.54900000000001</v>
      </c>
      <c r="G1754" s="11">
        <v>27.4</v>
      </c>
      <c r="H1754" s="1" t="s">
        <v>0</v>
      </c>
      <c r="I1754">
        <v>36.1</v>
      </c>
      <c r="J1754" t="s">
        <v>6</v>
      </c>
      <c r="K1754">
        <v>24</v>
      </c>
      <c r="L1754">
        <v>27.5</v>
      </c>
      <c r="M1754">
        <f t="shared" si="111"/>
        <v>1</v>
      </c>
    </row>
    <row r="1755" spans="1:13" x14ac:dyDescent="0.2">
      <c r="A1755" s="9">
        <v>44493</v>
      </c>
      <c r="B1755">
        <f t="shared" si="108"/>
        <v>24</v>
      </c>
      <c r="C1755">
        <f t="shared" si="109"/>
        <v>10</v>
      </c>
      <c r="D1755">
        <f t="shared" si="110"/>
        <v>2021</v>
      </c>
      <c r="E1755" s="11">
        <v>3.1309999999999998</v>
      </c>
      <c r="F1755" s="11">
        <v>101.54900000000001</v>
      </c>
      <c r="G1755" s="11">
        <v>27.4</v>
      </c>
      <c r="H1755" s="1" t="s">
        <v>0</v>
      </c>
      <c r="I1755">
        <v>6.1</v>
      </c>
      <c r="J1755">
        <v>30</v>
      </c>
      <c r="K1755">
        <v>24.1</v>
      </c>
      <c r="L1755">
        <v>26.8</v>
      </c>
      <c r="M1755">
        <f t="shared" si="111"/>
        <v>1</v>
      </c>
    </row>
    <row r="1756" spans="1:13" x14ac:dyDescent="0.2">
      <c r="A1756" s="9">
        <v>44494</v>
      </c>
      <c r="B1756">
        <f t="shared" si="108"/>
        <v>25</v>
      </c>
      <c r="C1756">
        <f t="shared" si="109"/>
        <v>10</v>
      </c>
      <c r="D1756">
        <f t="shared" si="110"/>
        <v>2021</v>
      </c>
      <c r="E1756" s="11">
        <v>3.1309999999999998</v>
      </c>
      <c r="F1756" s="11">
        <v>101.54900000000001</v>
      </c>
      <c r="G1756" s="11">
        <v>27.4</v>
      </c>
      <c r="H1756" s="1" t="s">
        <v>0</v>
      </c>
      <c r="I1756">
        <v>14.5</v>
      </c>
      <c r="J1756" t="s">
        <v>6</v>
      </c>
      <c r="K1756">
        <v>24.6</v>
      </c>
      <c r="L1756">
        <v>28.2</v>
      </c>
      <c r="M1756">
        <f t="shared" si="111"/>
        <v>1</v>
      </c>
    </row>
    <row r="1757" spans="1:13" x14ac:dyDescent="0.2">
      <c r="A1757" s="9">
        <v>44495</v>
      </c>
      <c r="B1757">
        <f t="shared" si="108"/>
        <v>26</v>
      </c>
      <c r="C1757">
        <f t="shared" si="109"/>
        <v>10</v>
      </c>
      <c r="D1757">
        <f t="shared" si="110"/>
        <v>2021</v>
      </c>
      <c r="E1757" s="11">
        <v>3.1309999999999998</v>
      </c>
      <c r="F1757" s="11">
        <v>101.54900000000001</v>
      </c>
      <c r="G1757" s="11">
        <v>27.4</v>
      </c>
      <c r="H1757" s="1" t="s">
        <v>0</v>
      </c>
      <c r="I1757">
        <v>0</v>
      </c>
      <c r="J1757" t="s">
        <v>6</v>
      </c>
      <c r="K1757">
        <v>25.6</v>
      </c>
      <c r="L1757">
        <v>29.4</v>
      </c>
      <c r="M1757">
        <f t="shared" si="111"/>
        <v>0</v>
      </c>
    </row>
    <row r="1758" spans="1:13" x14ac:dyDescent="0.2">
      <c r="A1758" s="9">
        <v>44496</v>
      </c>
      <c r="B1758">
        <f t="shared" si="108"/>
        <v>27</v>
      </c>
      <c r="C1758">
        <f t="shared" si="109"/>
        <v>10</v>
      </c>
      <c r="D1758">
        <f t="shared" si="110"/>
        <v>2021</v>
      </c>
      <c r="E1758" s="11">
        <v>3.1309999999999998</v>
      </c>
      <c r="F1758" s="11">
        <v>101.54900000000001</v>
      </c>
      <c r="G1758" s="11">
        <v>27.4</v>
      </c>
      <c r="H1758" s="1" t="s">
        <v>0</v>
      </c>
      <c r="I1758" t="s">
        <v>6</v>
      </c>
      <c r="J1758" t="s">
        <v>6</v>
      </c>
      <c r="K1758" t="s">
        <v>6</v>
      </c>
      <c r="L1758">
        <v>28.5</v>
      </c>
      <c r="M1758" t="str">
        <f t="shared" si="111"/>
        <v/>
      </c>
    </row>
    <row r="1759" spans="1:13" x14ac:dyDescent="0.2">
      <c r="A1759" s="9">
        <v>44497</v>
      </c>
      <c r="B1759">
        <f t="shared" si="108"/>
        <v>28</v>
      </c>
      <c r="C1759">
        <f t="shared" si="109"/>
        <v>10</v>
      </c>
      <c r="D1759">
        <f t="shared" si="110"/>
        <v>2021</v>
      </c>
      <c r="E1759" s="11">
        <v>3.1309999999999998</v>
      </c>
      <c r="F1759" s="11">
        <v>101.54900000000001</v>
      </c>
      <c r="G1759" s="11">
        <v>27.4</v>
      </c>
      <c r="H1759" s="1" t="s">
        <v>0</v>
      </c>
      <c r="I1759" t="s">
        <v>6</v>
      </c>
      <c r="J1759" t="s">
        <v>6</v>
      </c>
      <c r="K1759">
        <v>25.1</v>
      </c>
      <c r="L1759">
        <v>29.1</v>
      </c>
      <c r="M1759" t="str">
        <f t="shared" si="111"/>
        <v/>
      </c>
    </row>
    <row r="1760" spans="1:13" x14ac:dyDescent="0.2">
      <c r="A1760" s="9">
        <v>44498</v>
      </c>
      <c r="B1760">
        <f t="shared" si="108"/>
        <v>29</v>
      </c>
      <c r="C1760">
        <f t="shared" si="109"/>
        <v>10</v>
      </c>
      <c r="D1760">
        <f t="shared" si="110"/>
        <v>2021</v>
      </c>
      <c r="E1760" s="11">
        <v>3.1309999999999998</v>
      </c>
      <c r="F1760" s="11">
        <v>101.54900000000001</v>
      </c>
      <c r="G1760" s="11">
        <v>27.4</v>
      </c>
      <c r="H1760" s="1" t="s">
        <v>0</v>
      </c>
      <c r="I1760" t="s">
        <v>6</v>
      </c>
      <c r="J1760" t="s">
        <v>6</v>
      </c>
      <c r="K1760" t="s">
        <v>6</v>
      </c>
      <c r="L1760">
        <v>29.8</v>
      </c>
      <c r="M1760" t="str">
        <f t="shared" si="111"/>
        <v/>
      </c>
    </row>
    <row r="1761" spans="1:13" x14ac:dyDescent="0.2">
      <c r="A1761" s="9">
        <v>44499</v>
      </c>
      <c r="B1761">
        <f t="shared" si="108"/>
        <v>30</v>
      </c>
      <c r="C1761">
        <f t="shared" si="109"/>
        <v>10</v>
      </c>
      <c r="D1761">
        <f t="shared" si="110"/>
        <v>2021</v>
      </c>
      <c r="E1761" s="11">
        <v>3.1309999999999998</v>
      </c>
      <c r="F1761" s="11">
        <v>101.54900000000001</v>
      </c>
      <c r="G1761" s="11">
        <v>27.4</v>
      </c>
      <c r="H1761" s="1" t="s">
        <v>0</v>
      </c>
      <c r="I1761" t="s">
        <v>6</v>
      </c>
      <c r="J1761" t="s">
        <v>6</v>
      </c>
      <c r="K1761" t="s">
        <v>6</v>
      </c>
      <c r="L1761">
        <v>27.9</v>
      </c>
      <c r="M1761" t="str">
        <f t="shared" si="111"/>
        <v/>
      </c>
    </row>
    <row r="1762" spans="1:13" x14ac:dyDescent="0.2">
      <c r="A1762" s="9">
        <v>44500</v>
      </c>
      <c r="B1762">
        <f t="shared" si="108"/>
        <v>31</v>
      </c>
      <c r="C1762">
        <f t="shared" si="109"/>
        <v>10</v>
      </c>
      <c r="D1762">
        <f t="shared" si="110"/>
        <v>2021</v>
      </c>
      <c r="E1762" s="11">
        <v>3.1309999999999998</v>
      </c>
      <c r="F1762" s="11">
        <v>101.54900000000001</v>
      </c>
      <c r="G1762" s="11">
        <v>27.4</v>
      </c>
      <c r="H1762" s="1" t="s">
        <v>0</v>
      </c>
      <c r="I1762" t="s">
        <v>6</v>
      </c>
      <c r="J1762" t="s">
        <v>6</v>
      </c>
      <c r="K1762" t="s">
        <v>6</v>
      </c>
      <c r="L1762">
        <v>28.1</v>
      </c>
      <c r="M1762" t="str">
        <f t="shared" si="111"/>
        <v/>
      </c>
    </row>
    <row r="1763" spans="1:13" x14ac:dyDescent="0.2">
      <c r="A1763" s="9">
        <v>44501</v>
      </c>
      <c r="B1763">
        <f t="shared" si="108"/>
        <v>1</v>
      </c>
      <c r="C1763">
        <f t="shared" si="109"/>
        <v>11</v>
      </c>
      <c r="D1763">
        <f t="shared" si="110"/>
        <v>2021</v>
      </c>
      <c r="E1763" s="11">
        <v>3.1309999999999998</v>
      </c>
      <c r="F1763" s="11">
        <v>101.54900000000001</v>
      </c>
      <c r="G1763" s="11">
        <v>27.4</v>
      </c>
      <c r="H1763" s="1" t="s">
        <v>0</v>
      </c>
      <c r="I1763" t="s">
        <v>6</v>
      </c>
      <c r="J1763" t="s">
        <v>6</v>
      </c>
      <c r="K1763" t="s">
        <v>6</v>
      </c>
      <c r="L1763">
        <v>27.1</v>
      </c>
      <c r="M1763" t="str">
        <f t="shared" si="111"/>
        <v/>
      </c>
    </row>
    <row r="1764" spans="1:13" x14ac:dyDescent="0.2">
      <c r="A1764" s="9">
        <v>44502</v>
      </c>
      <c r="B1764">
        <f t="shared" si="108"/>
        <v>2</v>
      </c>
      <c r="C1764">
        <f t="shared" si="109"/>
        <v>11</v>
      </c>
      <c r="D1764">
        <f t="shared" si="110"/>
        <v>2021</v>
      </c>
      <c r="E1764" s="11">
        <v>3.1309999999999998</v>
      </c>
      <c r="F1764" s="11">
        <v>101.54900000000001</v>
      </c>
      <c r="G1764" s="11">
        <v>27.4</v>
      </c>
      <c r="H1764" s="1" t="s">
        <v>0</v>
      </c>
      <c r="I1764" t="s">
        <v>6</v>
      </c>
      <c r="J1764" t="s">
        <v>6</v>
      </c>
      <c r="K1764" t="s">
        <v>6</v>
      </c>
      <c r="L1764">
        <v>27.4</v>
      </c>
      <c r="M1764" t="str">
        <f t="shared" si="111"/>
        <v/>
      </c>
    </row>
    <row r="1765" spans="1:13" x14ac:dyDescent="0.2">
      <c r="A1765" s="9">
        <v>44503</v>
      </c>
      <c r="B1765">
        <f t="shared" si="108"/>
        <v>3</v>
      </c>
      <c r="C1765">
        <f t="shared" si="109"/>
        <v>11</v>
      </c>
      <c r="D1765">
        <f t="shared" si="110"/>
        <v>2021</v>
      </c>
      <c r="E1765" s="11">
        <v>3.1309999999999998</v>
      </c>
      <c r="F1765" s="11">
        <v>101.54900000000001</v>
      </c>
      <c r="G1765" s="11">
        <v>27.4</v>
      </c>
      <c r="H1765" s="1" t="s">
        <v>0</v>
      </c>
      <c r="I1765" t="s">
        <v>6</v>
      </c>
      <c r="J1765" t="s">
        <v>6</v>
      </c>
      <c r="K1765">
        <v>24.3</v>
      </c>
      <c r="L1765">
        <v>27.4</v>
      </c>
      <c r="M1765" t="str">
        <f t="shared" si="111"/>
        <v/>
      </c>
    </row>
    <row r="1766" spans="1:13" x14ac:dyDescent="0.2">
      <c r="A1766" s="9">
        <v>44504</v>
      </c>
      <c r="B1766">
        <f t="shared" si="108"/>
        <v>4</v>
      </c>
      <c r="C1766">
        <f t="shared" si="109"/>
        <v>11</v>
      </c>
      <c r="D1766">
        <f t="shared" si="110"/>
        <v>2021</v>
      </c>
      <c r="E1766" s="11">
        <v>3.1309999999999998</v>
      </c>
      <c r="F1766" s="11">
        <v>101.54900000000001</v>
      </c>
      <c r="G1766" s="11">
        <v>27.4</v>
      </c>
      <c r="H1766" s="1" t="s">
        <v>0</v>
      </c>
      <c r="I1766" t="s">
        <v>6</v>
      </c>
      <c r="J1766" t="s">
        <v>6</v>
      </c>
      <c r="K1766">
        <v>24.8</v>
      </c>
      <c r="L1766">
        <v>27.1</v>
      </c>
      <c r="M1766" t="str">
        <f t="shared" si="111"/>
        <v/>
      </c>
    </row>
    <row r="1767" spans="1:13" x14ac:dyDescent="0.2">
      <c r="A1767" s="9">
        <v>44505</v>
      </c>
      <c r="B1767">
        <f t="shared" si="108"/>
        <v>5</v>
      </c>
      <c r="C1767">
        <f t="shared" si="109"/>
        <v>11</v>
      </c>
      <c r="D1767">
        <f t="shared" si="110"/>
        <v>2021</v>
      </c>
      <c r="E1767" s="11">
        <v>3.1309999999999998</v>
      </c>
      <c r="F1767" s="11">
        <v>101.54900000000001</v>
      </c>
      <c r="G1767" s="11">
        <v>27.4</v>
      </c>
      <c r="H1767" s="1" t="s">
        <v>0</v>
      </c>
      <c r="I1767" t="s">
        <v>6</v>
      </c>
      <c r="J1767" t="s">
        <v>6</v>
      </c>
      <c r="K1767" t="s">
        <v>6</v>
      </c>
      <c r="L1767">
        <v>26.9</v>
      </c>
      <c r="M1767" t="str">
        <f t="shared" si="111"/>
        <v/>
      </c>
    </row>
    <row r="1768" spans="1:13" x14ac:dyDescent="0.2">
      <c r="A1768" s="9">
        <v>44506</v>
      </c>
      <c r="B1768">
        <f t="shared" si="108"/>
        <v>6</v>
      </c>
      <c r="C1768">
        <f t="shared" si="109"/>
        <v>11</v>
      </c>
      <c r="D1768">
        <f t="shared" si="110"/>
        <v>2021</v>
      </c>
      <c r="E1768" s="11">
        <v>3.1309999999999998</v>
      </c>
      <c r="F1768" s="11">
        <v>101.54900000000001</v>
      </c>
      <c r="G1768" s="11">
        <v>27.4</v>
      </c>
      <c r="H1768" s="1" t="s">
        <v>0</v>
      </c>
      <c r="I1768" t="s">
        <v>6</v>
      </c>
      <c r="J1768" t="s">
        <v>6</v>
      </c>
      <c r="K1768">
        <v>24.2</v>
      </c>
      <c r="L1768">
        <v>29.1</v>
      </c>
      <c r="M1768" t="str">
        <f t="shared" si="111"/>
        <v/>
      </c>
    </row>
    <row r="1769" spans="1:13" x14ac:dyDescent="0.2">
      <c r="A1769" s="9">
        <v>44507</v>
      </c>
      <c r="B1769">
        <f t="shared" si="108"/>
        <v>7</v>
      </c>
      <c r="C1769">
        <f t="shared" si="109"/>
        <v>11</v>
      </c>
      <c r="D1769">
        <f t="shared" si="110"/>
        <v>2021</v>
      </c>
      <c r="E1769" s="11">
        <v>3.1309999999999998</v>
      </c>
      <c r="F1769" s="11">
        <v>101.54900000000001</v>
      </c>
      <c r="G1769" s="11">
        <v>27.4</v>
      </c>
      <c r="H1769" s="1" t="s">
        <v>0</v>
      </c>
      <c r="I1769" t="s">
        <v>6</v>
      </c>
      <c r="J1769">
        <v>33.5</v>
      </c>
      <c r="K1769" t="s">
        <v>6</v>
      </c>
      <c r="L1769">
        <v>27.7</v>
      </c>
      <c r="M1769" t="str">
        <f t="shared" si="111"/>
        <v/>
      </c>
    </row>
    <row r="1770" spans="1:13" x14ac:dyDescent="0.2">
      <c r="A1770" s="9">
        <v>44508</v>
      </c>
      <c r="B1770">
        <f t="shared" si="108"/>
        <v>8</v>
      </c>
      <c r="C1770">
        <f t="shared" si="109"/>
        <v>11</v>
      </c>
      <c r="D1770">
        <f t="shared" si="110"/>
        <v>2021</v>
      </c>
      <c r="E1770" s="11">
        <v>3.1309999999999998</v>
      </c>
      <c r="F1770" s="11">
        <v>101.54900000000001</v>
      </c>
      <c r="G1770" s="11">
        <v>27.4</v>
      </c>
      <c r="H1770" s="1" t="s">
        <v>0</v>
      </c>
      <c r="I1770" t="s">
        <v>6</v>
      </c>
      <c r="J1770" t="s">
        <v>6</v>
      </c>
      <c r="K1770">
        <v>24.3</v>
      </c>
      <c r="L1770">
        <v>29.3</v>
      </c>
      <c r="M1770" t="str">
        <f t="shared" si="111"/>
        <v/>
      </c>
    </row>
    <row r="1771" spans="1:13" x14ac:dyDescent="0.2">
      <c r="A1771" s="9">
        <v>44509</v>
      </c>
      <c r="B1771">
        <f t="shared" si="108"/>
        <v>9</v>
      </c>
      <c r="C1771">
        <f t="shared" si="109"/>
        <v>11</v>
      </c>
      <c r="D1771">
        <f t="shared" si="110"/>
        <v>2021</v>
      </c>
      <c r="E1771" s="11">
        <v>3.1309999999999998</v>
      </c>
      <c r="F1771" s="11">
        <v>101.54900000000001</v>
      </c>
      <c r="G1771" s="11">
        <v>27.4</v>
      </c>
      <c r="H1771" s="1" t="s">
        <v>0</v>
      </c>
      <c r="I1771" t="s">
        <v>6</v>
      </c>
      <c r="J1771" t="s">
        <v>6</v>
      </c>
      <c r="K1771" t="s">
        <v>6</v>
      </c>
      <c r="L1771">
        <v>27.7</v>
      </c>
      <c r="M1771" t="str">
        <f t="shared" si="111"/>
        <v/>
      </c>
    </row>
    <row r="1772" spans="1:13" x14ac:dyDescent="0.2">
      <c r="A1772" s="9">
        <v>44510</v>
      </c>
      <c r="B1772">
        <f t="shared" si="108"/>
        <v>10</v>
      </c>
      <c r="C1772">
        <f t="shared" si="109"/>
        <v>11</v>
      </c>
      <c r="D1772">
        <f t="shared" si="110"/>
        <v>2021</v>
      </c>
      <c r="E1772" s="11">
        <v>3.1309999999999998</v>
      </c>
      <c r="F1772" s="11">
        <v>101.54900000000001</v>
      </c>
      <c r="G1772" s="11">
        <v>27.4</v>
      </c>
      <c r="H1772" s="1" t="s">
        <v>0</v>
      </c>
      <c r="I1772" t="s">
        <v>6</v>
      </c>
      <c r="J1772" t="s">
        <v>6</v>
      </c>
      <c r="K1772">
        <v>23.7</v>
      </c>
      <c r="L1772">
        <v>26.6</v>
      </c>
      <c r="M1772" t="str">
        <f t="shared" si="111"/>
        <v/>
      </c>
    </row>
    <row r="1773" spans="1:13" x14ac:dyDescent="0.2">
      <c r="A1773" s="9">
        <v>44511</v>
      </c>
      <c r="B1773">
        <f t="shared" si="108"/>
        <v>11</v>
      </c>
      <c r="C1773">
        <f t="shared" si="109"/>
        <v>11</v>
      </c>
      <c r="D1773">
        <f t="shared" si="110"/>
        <v>2021</v>
      </c>
      <c r="E1773" s="11">
        <v>3.1309999999999998</v>
      </c>
      <c r="F1773" s="11">
        <v>101.54900000000001</v>
      </c>
      <c r="G1773" s="11">
        <v>27.4</v>
      </c>
      <c r="H1773" s="1" t="s">
        <v>0</v>
      </c>
      <c r="I1773">
        <v>17</v>
      </c>
      <c r="J1773" t="s">
        <v>6</v>
      </c>
      <c r="K1773">
        <v>24.2</v>
      </c>
      <c r="L1773">
        <v>27.4</v>
      </c>
      <c r="M1773">
        <f t="shared" si="111"/>
        <v>1</v>
      </c>
    </row>
    <row r="1774" spans="1:13" x14ac:dyDescent="0.2">
      <c r="A1774" s="9">
        <v>44512</v>
      </c>
      <c r="B1774">
        <f t="shared" si="108"/>
        <v>12</v>
      </c>
      <c r="C1774">
        <f t="shared" si="109"/>
        <v>11</v>
      </c>
      <c r="D1774">
        <f t="shared" si="110"/>
        <v>2021</v>
      </c>
      <c r="E1774" s="11">
        <v>3.1309999999999998</v>
      </c>
      <c r="F1774" s="11">
        <v>101.54900000000001</v>
      </c>
      <c r="G1774" s="11">
        <v>27.4</v>
      </c>
      <c r="H1774" s="1" t="s">
        <v>0</v>
      </c>
      <c r="I1774">
        <v>3</v>
      </c>
      <c r="J1774" t="s">
        <v>6</v>
      </c>
      <c r="K1774">
        <v>24.5</v>
      </c>
      <c r="L1774">
        <v>27.2</v>
      </c>
      <c r="M1774">
        <f t="shared" si="111"/>
        <v>1</v>
      </c>
    </row>
    <row r="1775" spans="1:13" x14ac:dyDescent="0.2">
      <c r="A1775" s="9">
        <v>44513</v>
      </c>
      <c r="B1775">
        <f t="shared" si="108"/>
        <v>13</v>
      </c>
      <c r="C1775">
        <f t="shared" si="109"/>
        <v>11</v>
      </c>
      <c r="D1775">
        <f t="shared" si="110"/>
        <v>2021</v>
      </c>
      <c r="E1775" s="11">
        <v>3.1309999999999998</v>
      </c>
      <c r="F1775" s="11">
        <v>101.54900000000001</v>
      </c>
      <c r="G1775" s="11">
        <v>27.4</v>
      </c>
      <c r="H1775" s="1" t="s">
        <v>0</v>
      </c>
      <c r="I1775">
        <v>0.3</v>
      </c>
      <c r="J1775">
        <v>32.4</v>
      </c>
      <c r="K1775">
        <v>24.8</v>
      </c>
      <c r="L1775">
        <v>28.1</v>
      </c>
      <c r="M1775">
        <f t="shared" si="111"/>
        <v>1</v>
      </c>
    </row>
    <row r="1776" spans="1:13" x14ac:dyDescent="0.2">
      <c r="A1776" s="9">
        <v>44514</v>
      </c>
      <c r="B1776">
        <f t="shared" si="108"/>
        <v>14</v>
      </c>
      <c r="C1776">
        <f t="shared" si="109"/>
        <v>11</v>
      </c>
      <c r="D1776">
        <f t="shared" si="110"/>
        <v>2021</v>
      </c>
      <c r="E1776" s="11">
        <v>3.1309999999999998</v>
      </c>
      <c r="F1776" s="11">
        <v>101.54900000000001</v>
      </c>
      <c r="G1776" s="11">
        <v>27.4</v>
      </c>
      <c r="H1776" s="1" t="s">
        <v>0</v>
      </c>
      <c r="I1776">
        <v>0</v>
      </c>
      <c r="J1776" t="s">
        <v>6</v>
      </c>
      <c r="K1776">
        <v>25</v>
      </c>
      <c r="L1776">
        <v>28.6</v>
      </c>
      <c r="M1776">
        <f t="shared" si="111"/>
        <v>0</v>
      </c>
    </row>
    <row r="1777" spans="1:13" x14ac:dyDescent="0.2">
      <c r="A1777" s="9">
        <v>44515</v>
      </c>
      <c r="B1777">
        <f t="shared" si="108"/>
        <v>15</v>
      </c>
      <c r="C1777">
        <f t="shared" si="109"/>
        <v>11</v>
      </c>
      <c r="D1777">
        <f t="shared" si="110"/>
        <v>2021</v>
      </c>
      <c r="E1777" s="11">
        <v>3.1309999999999998</v>
      </c>
      <c r="F1777" s="11">
        <v>101.54900000000001</v>
      </c>
      <c r="G1777" s="11">
        <v>27.4</v>
      </c>
      <c r="H1777" s="1" t="s">
        <v>0</v>
      </c>
      <c r="I1777">
        <v>0</v>
      </c>
      <c r="J1777" t="s">
        <v>6</v>
      </c>
      <c r="K1777">
        <v>25.2</v>
      </c>
      <c r="L1777">
        <v>29.4</v>
      </c>
      <c r="M1777">
        <f t="shared" si="111"/>
        <v>0</v>
      </c>
    </row>
    <row r="1778" spans="1:13" x14ac:dyDescent="0.2">
      <c r="A1778" s="9">
        <v>44516</v>
      </c>
      <c r="B1778">
        <f t="shared" si="108"/>
        <v>16</v>
      </c>
      <c r="C1778">
        <f t="shared" si="109"/>
        <v>11</v>
      </c>
      <c r="D1778">
        <f t="shared" si="110"/>
        <v>2021</v>
      </c>
      <c r="E1778" s="11">
        <v>3.1309999999999998</v>
      </c>
      <c r="F1778" s="11">
        <v>101.54900000000001</v>
      </c>
      <c r="G1778" s="11">
        <v>27.4</v>
      </c>
      <c r="H1778" s="1" t="s">
        <v>0</v>
      </c>
      <c r="I1778" t="s">
        <v>6</v>
      </c>
      <c r="J1778">
        <v>33.4</v>
      </c>
      <c r="K1778" t="s">
        <v>6</v>
      </c>
      <c r="L1778">
        <v>27.1</v>
      </c>
      <c r="M1778" t="str">
        <f t="shared" si="111"/>
        <v/>
      </c>
    </row>
    <row r="1779" spans="1:13" x14ac:dyDescent="0.2">
      <c r="A1779" s="9">
        <v>44517</v>
      </c>
      <c r="B1779">
        <f t="shared" si="108"/>
        <v>17</v>
      </c>
      <c r="C1779">
        <f t="shared" si="109"/>
        <v>11</v>
      </c>
      <c r="D1779">
        <f t="shared" si="110"/>
        <v>2021</v>
      </c>
      <c r="E1779" s="11">
        <v>3.1309999999999998</v>
      </c>
      <c r="F1779" s="11">
        <v>101.54900000000001</v>
      </c>
      <c r="G1779" s="11">
        <v>27.4</v>
      </c>
      <c r="H1779" s="1" t="s">
        <v>0</v>
      </c>
      <c r="I1779">
        <v>46</v>
      </c>
      <c r="J1779" t="s">
        <v>6</v>
      </c>
      <c r="K1779">
        <v>24</v>
      </c>
      <c r="L1779">
        <v>25.9</v>
      </c>
      <c r="M1779">
        <f t="shared" si="111"/>
        <v>1</v>
      </c>
    </row>
    <row r="1780" spans="1:13" x14ac:dyDescent="0.2">
      <c r="A1780" s="9">
        <v>44518</v>
      </c>
      <c r="B1780">
        <f t="shared" si="108"/>
        <v>18</v>
      </c>
      <c r="C1780">
        <f t="shared" si="109"/>
        <v>11</v>
      </c>
      <c r="D1780">
        <f t="shared" si="110"/>
        <v>2021</v>
      </c>
      <c r="E1780" s="11">
        <v>3.1309999999999998</v>
      </c>
      <c r="F1780" s="11">
        <v>101.54900000000001</v>
      </c>
      <c r="G1780" s="11">
        <v>27.4</v>
      </c>
      <c r="H1780" s="1" t="s">
        <v>0</v>
      </c>
      <c r="I1780">
        <v>8.9</v>
      </c>
      <c r="J1780" t="s">
        <v>6</v>
      </c>
      <c r="K1780">
        <v>23.7</v>
      </c>
      <c r="L1780">
        <v>27.7</v>
      </c>
      <c r="M1780">
        <f t="shared" si="111"/>
        <v>1</v>
      </c>
    </row>
    <row r="1781" spans="1:13" x14ac:dyDescent="0.2">
      <c r="A1781" s="9">
        <v>44519</v>
      </c>
      <c r="B1781">
        <f t="shared" si="108"/>
        <v>19</v>
      </c>
      <c r="C1781">
        <f t="shared" si="109"/>
        <v>11</v>
      </c>
      <c r="D1781">
        <f t="shared" si="110"/>
        <v>2021</v>
      </c>
      <c r="E1781" s="11">
        <v>3.1309999999999998</v>
      </c>
      <c r="F1781" s="11">
        <v>101.54900000000001</v>
      </c>
      <c r="G1781" s="11">
        <v>27.4</v>
      </c>
      <c r="H1781" s="1" t="s">
        <v>0</v>
      </c>
      <c r="I1781">
        <v>0</v>
      </c>
      <c r="J1781" t="s">
        <v>6</v>
      </c>
      <c r="K1781">
        <v>24.4</v>
      </c>
      <c r="L1781">
        <v>29.1</v>
      </c>
      <c r="M1781">
        <f t="shared" si="111"/>
        <v>0</v>
      </c>
    </row>
    <row r="1782" spans="1:13" x14ac:dyDescent="0.2">
      <c r="A1782" s="9">
        <v>44520</v>
      </c>
      <c r="B1782">
        <f t="shared" si="108"/>
        <v>20</v>
      </c>
      <c r="C1782">
        <f t="shared" si="109"/>
        <v>11</v>
      </c>
      <c r="D1782">
        <f t="shared" si="110"/>
        <v>2021</v>
      </c>
      <c r="E1782" s="11">
        <v>3.1309999999999998</v>
      </c>
      <c r="F1782" s="11">
        <v>101.54900000000001</v>
      </c>
      <c r="G1782" s="11">
        <v>27.4</v>
      </c>
      <c r="H1782" s="1" t="s">
        <v>0</v>
      </c>
      <c r="I1782">
        <v>0.3</v>
      </c>
      <c r="J1782">
        <v>34.200000000000003</v>
      </c>
      <c r="K1782">
        <v>24.9</v>
      </c>
      <c r="L1782">
        <v>28.2</v>
      </c>
      <c r="M1782">
        <f t="shared" si="111"/>
        <v>1</v>
      </c>
    </row>
    <row r="1783" spans="1:13" x14ac:dyDescent="0.2">
      <c r="A1783" s="9">
        <v>44521</v>
      </c>
      <c r="B1783">
        <f t="shared" si="108"/>
        <v>21</v>
      </c>
      <c r="C1783">
        <f t="shared" si="109"/>
        <v>11</v>
      </c>
      <c r="D1783">
        <f t="shared" si="110"/>
        <v>2021</v>
      </c>
      <c r="E1783" s="11">
        <v>3.1309999999999998</v>
      </c>
      <c r="F1783" s="11">
        <v>101.54900000000001</v>
      </c>
      <c r="G1783" s="11">
        <v>27.4</v>
      </c>
      <c r="H1783" s="1" t="s">
        <v>0</v>
      </c>
      <c r="I1783">
        <v>3</v>
      </c>
      <c r="J1783" t="s">
        <v>6</v>
      </c>
      <c r="K1783" t="s">
        <v>6</v>
      </c>
      <c r="L1783">
        <v>27.6</v>
      </c>
      <c r="M1783">
        <f t="shared" si="111"/>
        <v>1</v>
      </c>
    </row>
    <row r="1784" spans="1:13" x14ac:dyDescent="0.2">
      <c r="A1784" s="9">
        <v>44522</v>
      </c>
      <c r="B1784">
        <f t="shared" si="108"/>
        <v>22</v>
      </c>
      <c r="C1784">
        <f t="shared" si="109"/>
        <v>11</v>
      </c>
      <c r="D1784">
        <f t="shared" si="110"/>
        <v>2021</v>
      </c>
      <c r="E1784" s="11">
        <v>3.1309999999999998</v>
      </c>
      <c r="F1784" s="11">
        <v>101.54900000000001</v>
      </c>
      <c r="G1784" s="11">
        <v>27.4</v>
      </c>
      <c r="H1784" s="1" t="s">
        <v>0</v>
      </c>
      <c r="I1784">
        <v>96</v>
      </c>
      <c r="J1784" t="s">
        <v>6</v>
      </c>
      <c r="K1784">
        <v>23.8</v>
      </c>
      <c r="L1784">
        <v>27.8</v>
      </c>
      <c r="M1784">
        <f t="shared" si="111"/>
        <v>1</v>
      </c>
    </row>
    <row r="1785" spans="1:13" x14ac:dyDescent="0.2">
      <c r="A1785" s="9">
        <v>44523</v>
      </c>
      <c r="B1785">
        <f t="shared" si="108"/>
        <v>23</v>
      </c>
      <c r="C1785">
        <f t="shared" si="109"/>
        <v>11</v>
      </c>
      <c r="D1785">
        <f t="shared" si="110"/>
        <v>2021</v>
      </c>
      <c r="E1785" s="11">
        <v>3.1309999999999998</v>
      </c>
      <c r="F1785" s="11">
        <v>101.54900000000001</v>
      </c>
      <c r="G1785" s="11">
        <v>27.4</v>
      </c>
      <c r="H1785" s="1" t="s">
        <v>0</v>
      </c>
      <c r="I1785">
        <v>4.0999999999999996</v>
      </c>
      <c r="J1785" t="s">
        <v>6</v>
      </c>
      <c r="K1785">
        <v>24.5</v>
      </c>
      <c r="L1785">
        <v>28.4</v>
      </c>
      <c r="M1785">
        <f t="shared" si="111"/>
        <v>1</v>
      </c>
    </row>
    <row r="1786" spans="1:13" x14ac:dyDescent="0.2">
      <c r="A1786" s="9">
        <v>44524</v>
      </c>
      <c r="B1786">
        <f t="shared" si="108"/>
        <v>24</v>
      </c>
      <c r="C1786">
        <f t="shared" si="109"/>
        <v>11</v>
      </c>
      <c r="D1786">
        <f t="shared" si="110"/>
        <v>2021</v>
      </c>
      <c r="E1786" s="11">
        <v>3.1309999999999998</v>
      </c>
      <c r="F1786" s="11">
        <v>101.54900000000001</v>
      </c>
      <c r="G1786" s="11">
        <v>27.4</v>
      </c>
      <c r="H1786" s="1" t="s">
        <v>0</v>
      </c>
      <c r="I1786">
        <v>0</v>
      </c>
      <c r="J1786" t="s">
        <v>6</v>
      </c>
      <c r="K1786">
        <v>24.7</v>
      </c>
      <c r="L1786">
        <v>26.8</v>
      </c>
      <c r="M1786">
        <f t="shared" si="111"/>
        <v>0</v>
      </c>
    </row>
    <row r="1787" spans="1:13" x14ac:dyDescent="0.2">
      <c r="A1787" s="9">
        <v>44525</v>
      </c>
      <c r="B1787">
        <f t="shared" si="108"/>
        <v>25</v>
      </c>
      <c r="C1787">
        <f t="shared" si="109"/>
        <v>11</v>
      </c>
      <c r="D1787">
        <f t="shared" si="110"/>
        <v>2021</v>
      </c>
      <c r="E1787" s="11">
        <v>3.1309999999999998</v>
      </c>
      <c r="F1787" s="11">
        <v>101.54900000000001</v>
      </c>
      <c r="G1787" s="11">
        <v>27.4</v>
      </c>
      <c r="H1787" s="1" t="s">
        <v>0</v>
      </c>
      <c r="I1787">
        <v>6.1</v>
      </c>
      <c r="J1787" t="s">
        <v>6</v>
      </c>
      <c r="K1787" t="s">
        <v>6</v>
      </c>
      <c r="L1787">
        <v>27.2</v>
      </c>
      <c r="M1787">
        <f t="shared" si="111"/>
        <v>1</v>
      </c>
    </row>
    <row r="1788" spans="1:13" x14ac:dyDescent="0.2">
      <c r="A1788" s="9">
        <v>44526</v>
      </c>
      <c r="B1788">
        <f t="shared" si="108"/>
        <v>26</v>
      </c>
      <c r="C1788">
        <f t="shared" si="109"/>
        <v>11</v>
      </c>
      <c r="D1788">
        <f t="shared" si="110"/>
        <v>2021</v>
      </c>
      <c r="E1788" s="11">
        <v>3.1309999999999998</v>
      </c>
      <c r="F1788" s="11">
        <v>101.54900000000001</v>
      </c>
      <c r="G1788" s="11">
        <v>27.4</v>
      </c>
      <c r="H1788" s="1" t="s">
        <v>0</v>
      </c>
      <c r="I1788">
        <v>2.5</v>
      </c>
      <c r="J1788" t="s">
        <v>6</v>
      </c>
      <c r="K1788">
        <v>23.8</v>
      </c>
      <c r="L1788">
        <v>26.3</v>
      </c>
      <c r="M1788">
        <f t="shared" si="111"/>
        <v>1</v>
      </c>
    </row>
    <row r="1789" spans="1:13" x14ac:dyDescent="0.2">
      <c r="A1789" s="9">
        <v>44527</v>
      </c>
      <c r="B1789">
        <f t="shared" si="108"/>
        <v>27</v>
      </c>
      <c r="C1789">
        <f t="shared" si="109"/>
        <v>11</v>
      </c>
      <c r="D1789">
        <f t="shared" si="110"/>
        <v>2021</v>
      </c>
      <c r="E1789" s="11">
        <v>3.1309999999999998</v>
      </c>
      <c r="F1789" s="11">
        <v>101.54900000000001</v>
      </c>
      <c r="G1789" s="11">
        <v>27.4</v>
      </c>
      <c r="H1789" s="1" t="s">
        <v>0</v>
      </c>
      <c r="I1789">
        <v>0</v>
      </c>
      <c r="J1789">
        <v>33.200000000000003</v>
      </c>
      <c r="K1789">
        <v>23.9</v>
      </c>
      <c r="L1789">
        <v>27.1</v>
      </c>
      <c r="M1789">
        <f t="shared" si="111"/>
        <v>0</v>
      </c>
    </row>
    <row r="1790" spans="1:13" x14ac:dyDescent="0.2">
      <c r="A1790" s="9">
        <v>44528</v>
      </c>
      <c r="B1790">
        <f t="shared" si="108"/>
        <v>28</v>
      </c>
      <c r="C1790">
        <f t="shared" si="109"/>
        <v>11</v>
      </c>
      <c r="D1790">
        <f t="shared" si="110"/>
        <v>2021</v>
      </c>
      <c r="E1790" s="11">
        <v>3.1309999999999998</v>
      </c>
      <c r="F1790" s="11">
        <v>101.54900000000001</v>
      </c>
      <c r="G1790" s="11">
        <v>27.4</v>
      </c>
      <c r="H1790" s="1" t="s">
        <v>0</v>
      </c>
      <c r="I1790">
        <v>1</v>
      </c>
      <c r="J1790" t="s">
        <v>6</v>
      </c>
      <c r="K1790" t="s">
        <v>6</v>
      </c>
      <c r="L1790">
        <v>27.2</v>
      </c>
      <c r="M1790">
        <f t="shared" si="111"/>
        <v>1</v>
      </c>
    </row>
    <row r="1791" spans="1:13" x14ac:dyDescent="0.2">
      <c r="A1791" s="9">
        <v>44529</v>
      </c>
      <c r="B1791">
        <f t="shared" si="108"/>
        <v>29</v>
      </c>
      <c r="C1791">
        <f t="shared" si="109"/>
        <v>11</v>
      </c>
      <c r="D1791">
        <f t="shared" si="110"/>
        <v>2021</v>
      </c>
      <c r="E1791" s="11">
        <v>3.1309999999999998</v>
      </c>
      <c r="F1791" s="11">
        <v>101.54900000000001</v>
      </c>
      <c r="G1791" s="11">
        <v>27.4</v>
      </c>
      <c r="H1791" s="1" t="s">
        <v>0</v>
      </c>
      <c r="I1791">
        <v>36.1</v>
      </c>
      <c r="J1791" t="s">
        <v>6</v>
      </c>
      <c r="K1791">
        <v>23.1</v>
      </c>
      <c r="L1791">
        <v>27.8</v>
      </c>
      <c r="M1791">
        <f t="shared" si="111"/>
        <v>1</v>
      </c>
    </row>
    <row r="1792" spans="1:13" x14ac:dyDescent="0.2">
      <c r="A1792" s="9">
        <v>44530</v>
      </c>
      <c r="B1792">
        <f t="shared" si="108"/>
        <v>30</v>
      </c>
      <c r="C1792">
        <f t="shared" si="109"/>
        <v>11</v>
      </c>
      <c r="D1792">
        <f t="shared" si="110"/>
        <v>2021</v>
      </c>
      <c r="E1792" s="11">
        <v>3.1309999999999998</v>
      </c>
      <c r="F1792" s="11">
        <v>101.54900000000001</v>
      </c>
      <c r="G1792" s="11">
        <v>27.4</v>
      </c>
      <c r="H1792" s="1" t="s">
        <v>0</v>
      </c>
      <c r="I1792">
        <v>0</v>
      </c>
      <c r="J1792" t="s">
        <v>6</v>
      </c>
      <c r="K1792">
        <v>24.3</v>
      </c>
      <c r="L1792">
        <v>29</v>
      </c>
      <c r="M1792">
        <f t="shared" si="111"/>
        <v>0</v>
      </c>
    </row>
    <row r="1793" spans="1:13" x14ac:dyDescent="0.2">
      <c r="A1793" s="9">
        <v>44531</v>
      </c>
      <c r="B1793">
        <f t="shared" si="108"/>
        <v>1</v>
      </c>
      <c r="C1793">
        <f t="shared" si="109"/>
        <v>12</v>
      </c>
      <c r="D1793">
        <f t="shared" si="110"/>
        <v>2021</v>
      </c>
      <c r="E1793" s="11">
        <v>3.1309999999999998</v>
      </c>
      <c r="F1793" s="11">
        <v>101.54900000000001</v>
      </c>
      <c r="G1793" s="11">
        <v>27.4</v>
      </c>
      <c r="H1793" s="1" t="s">
        <v>0</v>
      </c>
      <c r="I1793">
        <v>0</v>
      </c>
      <c r="J1793">
        <v>34.1</v>
      </c>
      <c r="K1793" t="s">
        <v>6</v>
      </c>
      <c r="L1793">
        <v>29.8</v>
      </c>
      <c r="M1793">
        <f t="shared" si="111"/>
        <v>0</v>
      </c>
    </row>
    <row r="1794" spans="1:13" x14ac:dyDescent="0.2">
      <c r="A1794" s="9">
        <v>44532</v>
      </c>
      <c r="B1794">
        <f t="shared" si="108"/>
        <v>2</v>
      </c>
      <c r="C1794">
        <f t="shared" si="109"/>
        <v>12</v>
      </c>
      <c r="D1794">
        <f t="shared" si="110"/>
        <v>2021</v>
      </c>
      <c r="E1794" s="11">
        <v>3.1309999999999998</v>
      </c>
      <c r="F1794" s="11">
        <v>101.54900000000001</v>
      </c>
      <c r="G1794" s="11">
        <v>27.4</v>
      </c>
      <c r="H1794" s="1" t="s">
        <v>0</v>
      </c>
      <c r="I1794">
        <v>0.5</v>
      </c>
      <c r="J1794">
        <v>31.1</v>
      </c>
      <c r="K1794">
        <v>24.7</v>
      </c>
      <c r="L1794">
        <v>26.7</v>
      </c>
      <c r="M1794">
        <f t="shared" si="111"/>
        <v>1</v>
      </c>
    </row>
    <row r="1795" spans="1:13" x14ac:dyDescent="0.2">
      <c r="A1795" s="9">
        <v>44533</v>
      </c>
      <c r="B1795">
        <f t="shared" ref="B1795:B1858" si="112">DAY(A1795)</f>
        <v>3</v>
      </c>
      <c r="C1795">
        <f t="shared" ref="C1795:C1858" si="113">MONTH(A1795)</f>
        <v>12</v>
      </c>
      <c r="D1795">
        <f t="shared" ref="D1795:D1858" si="114">YEAR(A1795)</f>
        <v>2021</v>
      </c>
      <c r="E1795" s="11">
        <v>3.1309999999999998</v>
      </c>
      <c r="F1795" s="11">
        <v>101.54900000000001</v>
      </c>
      <c r="G1795" s="11">
        <v>27.4</v>
      </c>
      <c r="H1795" s="1" t="s">
        <v>0</v>
      </c>
      <c r="I1795">
        <v>1.3</v>
      </c>
      <c r="J1795">
        <v>29.3</v>
      </c>
      <c r="K1795" t="s">
        <v>6</v>
      </c>
      <c r="L1795">
        <v>26.5</v>
      </c>
      <c r="M1795">
        <f t="shared" ref="M1795:M1858" si="115">IF(ISNUMBER(I1795), IF(I1795&gt;0, 1, 0), "")</f>
        <v>1</v>
      </c>
    </row>
    <row r="1796" spans="1:13" x14ac:dyDescent="0.2">
      <c r="A1796" s="9">
        <v>44534</v>
      </c>
      <c r="B1796">
        <f t="shared" si="112"/>
        <v>4</v>
      </c>
      <c r="C1796">
        <f t="shared" si="113"/>
        <v>12</v>
      </c>
      <c r="D1796">
        <f t="shared" si="114"/>
        <v>2021</v>
      </c>
      <c r="E1796" s="11">
        <v>3.1309999999999998</v>
      </c>
      <c r="F1796" s="11">
        <v>101.54900000000001</v>
      </c>
      <c r="G1796" s="11">
        <v>27.4</v>
      </c>
      <c r="H1796" s="1" t="s">
        <v>0</v>
      </c>
      <c r="I1796">
        <v>0</v>
      </c>
      <c r="J1796">
        <v>33.700000000000003</v>
      </c>
      <c r="K1796">
        <v>23.8</v>
      </c>
      <c r="L1796">
        <v>28.5</v>
      </c>
      <c r="M1796">
        <f t="shared" si="115"/>
        <v>0</v>
      </c>
    </row>
    <row r="1797" spans="1:13" x14ac:dyDescent="0.2">
      <c r="A1797" s="9">
        <v>44535</v>
      </c>
      <c r="B1797">
        <f t="shared" si="112"/>
        <v>5</v>
      </c>
      <c r="C1797">
        <f t="shared" si="113"/>
        <v>12</v>
      </c>
      <c r="D1797">
        <f t="shared" si="114"/>
        <v>2021</v>
      </c>
      <c r="E1797" s="11">
        <v>3.1309999999999998</v>
      </c>
      <c r="F1797" s="11">
        <v>101.54900000000001</v>
      </c>
      <c r="G1797" s="11">
        <v>27.4</v>
      </c>
      <c r="H1797" s="1" t="s">
        <v>0</v>
      </c>
      <c r="I1797">
        <v>0</v>
      </c>
      <c r="J1797" t="s">
        <v>6</v>
      </c>
      <c r="K1797" t="s">
        <v>6</v>
      </c>
      <c r="L1797">
        <v>27.5</v>
      </c>
      <c r="M1797">
        <f t="shared" si="115"/>
        <v>0</v>
      </c>
    </row>
    <row r="1798" spans="1:13" x14ac:dyDescent="0.2">
      <c r="A1798" s="9">
        <v>44536</v>
      </c>
      <c r="B1798">
        <f t="shared" si="112"/>
        <v>6</v>
      </c>
      <c r="C1798">
        <f t="shared" si="113"/>
        <v>12</v>
      </c>
      <c r="D1798">
        <f t="shared" si="114"/>
        <v>2021</v>
      </c>
      <c r="E1798" s="11">
        <v>3.1309999999999998</v>
      </c>
      <c r="F1798" s="11">
        <v>101.54900000000001</v>
      </c>
      <c r="G1798" s="11">
        <v>27.4</v>
      </c>
      <c r="H1798" s="1" t="s">
        <v>0</v>
      </c>
      <c r="I1798">
        <v>8.6</v>
      </c>
      <c r="J1798">
        <v>32</v>
      </c>
      <c r="K1798" t="s">
        <v>6</v>
      </c>
      <c r="L1798">
        <v>27.3</v>
      </c>
      <c r="M1798">
        <f t="shared" si="115"/>
        <v>1</v>
      </c>
    </row>
    <row r="1799" spans="1:13" x14ac:dyDescent="0.2">
      <c r="A1799" s="9">
        <v>44537</v>
      </c>
      <c r="B1799">
        <f t="shared" si="112"/>
        <v>7</v>
      </c>
      <c r="C1799">
        <f t="shared" si="113"/>
        <v>12</v>
      </c>
      <c r="D1799">
        <f t="shared" si="114"/>
        <v>2021</v>
      </c>
      <c r="E1799" s="11">
        <v>3.1309999999999998</v>
      </c>
      <c r="F1799" s="11">
        <v>101.54900000000001</v>
      </c>
      <c r="G1799" s="11">
        <v>27.4</v>
      </c>
      <c r="H1799" s="1" t="s">
        <v>0</v>
      </c>
      <c r="I1799">
        <v>0</v>
      </c>
      <c r="J1799">
        <v>33.299999999999997</v>
      </c>
      <c r="K1799">
        <v>23.8</v>
      </c>
      <c r="L1799">
        <v>27.1</v>
      </c>
      <c r="M1799">
        <f t="shared" si="115"/>
        <v>0</v>
      </c>
    </row>
    <row r="1800" spans="1:13" x14ac:dyDescent="0.2">
      <c r="A1800" s="9">
        <v>44538</v>
      </c>
      <c r="B1800">
        <f t="shared" si="112"/>
        <v>8</v>
      </c>
      <c r="C1800">
        <f t="shared" si="113"/>
        <v>12</v>
      </c>
      <c r="D1800">
        <f t="shared" si="114"/>
        <v>2021</v>
      </c>
      <c r="E1800" s="11">
        <v>3.1309999999999998</v>
      </c>
      <c r="F1800" s="11">
        <v>101.54900000000001</v>
      </c>
      <c r="G1800" s="11">
        <v>27.4</v>
      </c>
      <c r="H1800" s="1" t="s">
        <v>0</v>
      </c>
      <c r="I1800">
        <v>23.9</v>
      </c>
      <c r="J1800">
        <v>33.6</v>
      </c>
      <c r="K1800">
        <v>23.8</v>
      </c>
      <c r="L1800">
        <v>28.8</v>
      </c>
      <c r="M1800">
        <f t="shared" si="115"/>
        <v>1</v>
      </c>
    </row>
    <row r="1801" spans="1:13" x14ac:dyDescent="0.2">
      <c r="A1801" s="9">
        <v>44539</v>
      </c>
      <c r="B1801">
        <f t="shared" si="112"/>
        <v>9</v>
      </c>
      <c r="C1801">
        <f t="shared" si="113"/>
        <v>12</v>
      </c>
      <c r="D1801">
        <f t="shared" si="114"/>
        <v>2021</v>
      </c>
      <c r="E1801" s="11">
        <v>3.1309999999999998</v>
      </c>
      <c r="F1801" s="11">
        <v>101.54900000000001</v>
      </c>
      <c r="G1801" s="11">
        <v>27.4</v>
      </c>
      <c r="H1801" s="1" t="s">
        <v>0</v>
      </c>
      <c r="I1801">
        <v>0</v>
      </c>
      <c r="J1801">
        <v>33.4</v>
      </c>
      <c r="K1801" t="s">
        <v>6</v>
      </c>
      <c r="L1801">
        <v>26.9</v>
      </c>
      <c r="M1801">
        <f t="shared" si="115"/>
        <v>0</v>
      </c>
    </row>
    <row r="1802" spans="1:13" x14ac:dyDescent="0.2">
      <c r="A1802" s="9">
        <v>44540</v>
      </c>
      <c r="B1802">
        <f t="shared" si="112"/>
        <v>10</v>
      </c>
      <c r="C1802">
        <f t="shared" si="113"/>
        <v>12</v>
      </c>
      <c r="D1802">
        <f t="shared" si="114"/>
        <v>2021</v>
      </c>
      <c r="E1802" s="11">
        <v>3.1309999999999998</v>
      </c>
      <c r="F1802" s="11">
        <v>101.54900000000001</v>
      </c>
      <c r="G1802" s="11">
        <v>27.4</v>
      </c>
      <c r="H1802" s="1" t="s">
        <v>0</v>
      </c>
      <c r="I1802">
        <v>38.1</v>
      </c>
      <c r="J1802">
        <v>31.3</v>
      </c>
      <c r="K1802">
        <v>24.1</v>
      </c>
      <c r="L1802">
        <v>26.8</v>
      </c>
      <c r="M1802">
        <f t="shared" si="115"/>
        <v>1</v>
      </c>
    </row>
    <row r="1803" spans="1:13" x14ac:dyDescent="0.2">
      <c r="A1803" s="9">
        <v>44541</v>
      </c>
      <c r="B1803">
        <f t="shared" si="112"/>
        <v>11</v>
      </c>
      <c r="C1803">
        <f t="shared" si="113"/>
        <v>12</v>
      </c>
      <c r="D1803">
        <f t="shared" si="114"/>
        <v>2021</v>
      </c>
      <c r="E1803" s="11">
        <v>3.1309999999999998</v>
      </c>
      <c r="F1803" s="11">
        <v>101.54900000000001</v>
      </c>
      <c r="G1803" s="11">
        <v>27.4</v>
      </c>
      <c r="H1803" s="1" t="s">
        <v>0</v>
      </c>
      <c r="I1803">
        <v>0.3</v>
      </c>
      <c r="J1803">
        <v>32.5</v>
      </c>
      <c r="K1803">
        <v>24.6</v>
      </c>
      <c r="L1803">
        <v>27</v>
      </c>
      <c r="M1803">
        <f t="shared" si="115"/>
        <v>1</v>
      </c>
    </row>
    <row r="1804" spans="1:13" x14ac:dyDescent="0.2">
      <c r="A1804" s="9">
        <v>44542</v>
      </c>
      <c r="B1804">
        <f t="shared" si="112"/>
        <v>12</v>
      </c>
      <c r="C1804">
        <f t="shared" si="113"/>
        <v>12</v>
      </c>
      <c r="D1804">
        <f t="shared" si="114"/>
        <v>2021</v>
      </c>
      <c r="E1804" s="11">
        <v>3.1309999999999998</v>
      </c>
      <c r="F1804" s="11">
        <v>101.54900000000001</v>
      </c>
      <c r="G1804" s="11">
        <v>27.4</v>
      </c>
      <c r="H1804" s="1" t="s">
        <v>0</v>
      </c>
      <c r="I1804">
        <v>19.3</v>
      </c>
      <c r="J1804">
        <v>33.200000000000003</v>
      </c>
      <c r="K1804">
        <v>24.6</v>
      </c>
      <c r="L1804">
        <v>27.9</v>
      </c>
      <c r="M1804">
        <f t="shared" si="115"/>
        <v>1</v>
      </c>
    </row>
    <row r="1805" spans="1:13" x14ac:dyDescent="0.2">
      <c r="A1805" s="9">
        <v>44543</v>
      </c>
      <c r="B1805">
        <f t="shared" si="112"/>
        <v>13</v>
      </c>
      <c r="C1805">
        <f t="shared" si="113"/>
        <v>12</v>
      </c>
      <c r="D1805">
        <f t="shared" si="114"/>
        <v>2021</v>
      </c>
      <c r="E1805" s="11">
        <v>3.1309999999999998</v>
      </c>
      <c r="F1805" s="11">
        <v>101.54900000000001</v>
      </c>
      <c r="G1805" s="11">
        <v>27.4</v>
      </c>
      <c r="H1805" s="1" t="s">
        <v>0</v>
      </c>
      <c r="I1805">
        <v>0</v>
      </c>
      <c r="J1805">
        <v>32.200000000000003</v>
      </c>
      <c r="K1805" t="s">
        <v>6</v>
      </c>
      <c r="L1805">
        <v>26.9</v>
      </c>
      <c r="M1805">
        <f t="shared" si="115"/>
        <v>0</v>
      </c>
    </row>
    <row r="1806" spans="1:13" x14ac:dyDescent="0.2">
      <c r="A1806" s="9">
        <v>44544</v>
      </c>
      <c r="B1806">
        <f t="shared" si="112"/>
        <v>14</v>
      </c>
      <c r="C1806">
        <f t="shared" si="113"/>
        <v>12</v>
      </c>
      <c r="D1806">
        <f t="shared" si="114"/>
        <v>2021</v>
      </c>
      <c r="E1806" s="11">
        <v>3.1309999999999998</v>
      </c>
      <c r="F1806" s="11">
        <v>101.54900000000001</v>
      </c>
      <c r="G1806" s="11">
        <v>27.4</v>
      </c>
      <c r="H1806" s="1" t="s">
        <v>0</v>
      </c>
      <c r="I1806">
        <v>74.2</v>
      </c>
      <c r="J1806">
        <v>34</v>
      </c>
      <c r="K1806">
        <v>23.9</v>
      </c>
      <c r="L1806">
        <v>28.1</v>
      </c>
      <c r="M1806">
        <f t="shared" si="115"/>
        <v>1</v>
      </c>
    </row>
    <row r="1807" spans="1:13" x14ac:dyDescent="0.2">
      <c r="A1807" s="9">
        <v>44545</v>
      </c>
      <c r="B1807">
        <f t="shared" si="112"/>
        <v>15</v>
      </c>
      <c r="C1807">
        <f t="shared" si="113"/>
        <v>12</v>
      </c>
      <c r="D1807">
        <f t="shared" si="114"/>
        <v>2021</v>
      </c>
      <c r="E1807" s="11">
        <v>3.1309999999999998</v>
      </c>
      <c r="F1807" s="11">
        <v>101.54900000000001</v>
      </c>
      <c r="G1807" s="11">
        <v>27.4</v>
      </c>
      <c r="H1807" s="1" t="s">
        <v>0</v>
      </c>
      <c r="I1807">
        <v>8.1</v>
      </c>
      <c r="J1807" t="s">
        <v>6</v>
      </c>
      <c r="K1807">
        <v>24.3</v>
      </c>
      <c r="L1807">
        <v>27.6</v>
      </c>
      <c r="M1807">
        <f t="shared" si="115"/>
        <v>1</v>
      </c>
    </row>
    <row r="1808" spans="1:13" x14ac:dyDescent="0.2">
      <c r="A1808" s="9">
        <v>44546</v>
      </c>
      <c r="B1808">
        <f t="shared" si="112"/>
        <v>16</v>
      </c>
      <c r="C1808">
        <f t="shared" si="113"/>
        <v>12</v>
      </c>
      <c r="D1808">
        <f t="shared" si="114"/>
        <v>2021</v>
      </c>
      <c r="E1808" s="11">
        <v>3.1309999999999998</v>
      </c>
      <c r="F1808" s="11">
        <v>101.54900000000001</v>
      </c>
      <c r="G1808" s="11">
        <v>27.4</v>
      </c>
      <c r="H1808" s="1" t="s">
        <v>0</v>
      </c>
      <c r="I1808">
        <v>1.3</v>
      </c>
      <c r="J1808">
        <v>29.3</v>
      </c>
      <c r="K1808" t="s">
        <v>6</v>
      </c>
      <c r="L1808">
        <v>26.4</v>
      </c>
      <c r="M1808">
        <f t="shared" si="115"/>
        <v>1</v>
      </c>
    </row>
    <row r="1809" spans="1:13" x14ac:dyDescent="0.2">
      <c r="A1809" s="9">
        <v>44547</v>
      </c>
      <c r="B1809">
        <f t="shared" si="112"/>
        <v>17</v>
      </c>
      <c r="C1809">
        <f t="shared" si="113"/>
        <v>12</v>
      </c>
      <c r="D1809">
        <f t="shared" si="114"/>
        <v>2021</v>
      </c>
      <c r="E1809" s="11">
        <v>3.1309999999999998</v>
      </c>
      <c r="F1809" s="11">
        <v>101.54900000000001</v>
      </c>
      <c r="G1809" s="11">
        <v>27.4</v>
      </c>
      <c r="H1809" s="1" t="s">
        <v>0</v>
      </c>
      <c r="I1809">
        <v>7.1</v>
      </c>
      <c r="J1809">
        <v>27</v>
      </c>
      <c r="K1809" t="s">
        <v>6</v>
      </c>
      <c r="L1809">
        <v>24.9</v>
      </c>
      <c r="M1809">
        <f t="shared" si="115"/>
        <v>1</v>
      </c>
    </row>
    <row r="1810" spans="1:13" x14ac:dyDescent="0.2">
      <c r="A1810" s="9">
        <v>44548</v>
      </c>
      <c r="B1810">
        <f t="shared" si="112"/>
        <v>18</v>
      </c>
      <c r="C1810">
        <f t="shared" si="113"/>
        <v>12</v>
      </c>
      <c r="D1810">
        <f t="shared" si="114"/>
        <v>2021</v>
      </c>
      <c r="E1810" s="11">
        <v>3.1309999999999998</v>
      </c>
      <c r="F1810" s="11">
        <v>101.54900000000001</v>
      </c>
      <c r="G1810" s="11">
        <v>27.4</v>
      </c>
      <c r="H1810" s="1" t="s">
        <v>0</v>
      </c>
      <c r="I1810">
        <v>84.3</v>
      </c>
      <c r="J1810" t="s">
        <v>6</v>
      </c>
      <c r="K1810" t="s">
        <v>6</v>
      </c>
      <c r="L1810">
        <v>24.1</v>
      </c>
      <c r="M1810">
        <f t="shared" si="115"/>
        <v>1</v>
      </c>
    </row>
    <row r="1811" spans="1:13" x14ac:dyDescent="0.2">
      <c r="A1811" s="9">
        <v>44549</v>
      </c>
      <c r="B1811">
        <f t="shared" si="112"/>
        <v>19</v>
      </c>
      <c r="C1811">
        <f t="shared" si="113"/>
        <v>12</v>
      </c>
      <c r="D1811">
        <f t="shared" si="114"/>
        <v>2021</v>
      </c>
      <c r="E1811" s="11">
        <v>3.1309999999999998</v>
      </c>
      <c r="F1811" s="11">
        <v>101.54900000000001</v>
      </c>
      <c r="G1811" s="11">
        <v>27.4</v>
      </c>
      <c r="H1811" s="1" t="s">
        <v>0</v>
      </c>
      <c r="I1811">
        <v>0</v>
      </c>
      <c r="J1811" t="s">
        <v>6</v>
      </c>
      <c r="K1811">
        <v>23</v>
      </c>
      <c r="L1811">
        <v>26.2</v>
      </c>
      <c r="M1811">
        <f t="shared" si="115"/>
        <v>0</v>
      </c>
    </row>
    <row r="1812" spans="1:13" x14ac:dyDescent="0.2">
      <c r="A1812" s="9">
        <v>44550</v>
      </c>
      <c r="B1812">
        <f t="shared" si="112"/>
        <v>20</v>
      </c>
      <c r="C1812">
        <f t="shared" si="113"/>
        <v>12</v>
      </c>
      <c r="D1812">
        <f t="shared" si="114"/>
        <v>2021</v>
      </c>
      <c r="E1812" s="11">
        <v>3.1309999999999998</v>
      </c>
      <c r="F1812" s="11">
        <v>101.54900000000001</v>
      </c>
      <c r="G1812" s="11">
        <v>27.4</v>
      </c>
      <c r="H1812" s="1" t="s">
        <v>0</v>
      </c>
      <c r="I1812">
        <v>0.3</v>
      </c>
      <c r="J1812">
        <v>33.700000000000003</v>
      </c>
      <c r="K1812">
        <v>23.1</v>
      </c>
      <c r="L1812">
        <v>28.5</v>
      </c>
      <c r="M1812">
        <f t="shared" si="115"/>
        <v>1</v>
      </c>
    </row>
    <row r="1813" spans="1:13" x14ac:dyDescent="0.2">
      <c r="A1813" s="9">
        <v>44551</v>
      </c>
      <c r="B1813">
        <f t="shared" si="112"/>
        <v>21</v>
      </c>
      <c r="C1813">
        <f t="shared" si="113"/>
        <v>12</v>
      </c>
      <c r="D1813">
        <f t="shared" si="114"/>
        <v>2021</v>
      </c>
      <c r="E1813" s="11">
        <v>3.1309999999999998</v>
      </c>
      <c r="F1813" s="11">
        <v>101.54900000000001</v>
      </c>
      <c r="G1813" s="11">
        <v>27.4</v>
      </c>
      <c r="H1813" s="1" t="s">
        <v>0</v>
      </c>
      <c r="I1813">
        <v>0</v>
      </c>
      <c r="J1813">
        <v>34.200000000000003</v>
      </c>
      <c r="K1813" t="s">
        <v>6</v>
      </c>
      <c r="L1813">
        <v>29.2</v>
      </c>
      <c r="M1813">
        <f t="shared" si="115"/>
        <v>0</v>
      </c>
    </row>
    <row r="1814" spans="1:13" x14ac:dyDescent="0.2">
      <c r="A1814" s="9">
        <v>44552</v>
      </c>
      <c r="B1814">
        <f t="shared" si="112"/>
        <v>22</v>
      </c>
      <c r="C1814">
        <f t="shared" si="113"/>
        <v>12</v>
      </c>
      <c r="D1814">
        <f t="shared" si="114"/>
        <v>2021</v>
      </c>
      <c r="E1814" s="11">
        <v>3.1309999999999998</v>
      </c>
      <c r="F1814" s="11">
        <v>101.54900000000001</v>
      </c>
      <c r="G1814" s="11">
        <v>27.4</v>
      </c>
      <c r="H1814" s="1" t="s">
        <v>0</v>
      </c>
      <c r="I1814">
        <v>80.8</v>
      </c>
      <c r="J1814">
        <v>31.6</v>
      </c>
      <c r="K1814">
        <v>23.5</v>
      </c>
      <c r="L1814">
        <v>27.3</v>
      </c>
      <c r="M1814">
        <f t="shared" si="115"/>
        <v>1</v>
      </c>
    </row>
    <row r="1815" spans="1:13" x14ac:dyDescent="0.2">
      <c r="A1815" s="9">
        <v>44553</v>
      </c>
      <c r="B1815">
        <f t="shared" si="112"/>
        <v>23</v>
      </c>
      <c r="C1815">
        <f t="shared" si="113"/>
        <v>12</v>
      </c>
      <c r="D1815">
        <f t="shared" si="114"/>
        <v>2021</v>
      </c>
      <c r="E1815" s="11">
        <v>3.1309999999999998</v>
      </c>
      <c r="F1815" s="11">
        <v>101.54900000000001</v>
      </c>
      <c r="G1815" s="11">
        <v>27.4</v>
      </c>
      <c r="H1815" s="1" t="s">
        <v>0</v>
      </c>
      <c r="I1815">
        <v>0.5</v>
      </c>
      <c r="J1815">
        <v>32.1</v>
      </c>
      <c r="K1815">
        <v>24.4</v>
      </c>
      <c r="L1815">
        <v>28</v>
      </c>
      <c r="M1815">
        <f t="shared" si="115"/>
        <v>1</v>
      </c>
    </row>
    <row r="1816" spans="1:13" x14ac:dyDescent="0.2">
      <c r="A1816" s="9">
        <v>44554</v>
      </c>
      <c r="B1816">
        <f t="shared" si="112"/>
        <v>24</v>
      </c>
      <c r="C1816">
        <f t="shared" si="113"/>
        <v>12</v>
      </c>
      <c r="D1816">
        <f t="shared" si="114"/>
        <v>2021</v>
      </c>
      <c r="E1816" s="11">
        <v>3.1309999999999998</v>
      </c>
      <c r="F1816" s="11">
        <v>101.54900000000001</v>
      </c>
      <c r="G1816" s="11">
        <v>27.4</v>
      </c>
      <c r="H1816" s="1" t="s">
        <v>0</v>
      </c>
      <c r="I1816">
        <v>0</v>
      </c>
      <c r="J1816">
        <v>33.700000000000003</v>
      </c>
      <c r="K1816">
        <v>25.3</v>
      </c>
      <c r="L1816">
        <v>28.9</v>
      </c>
      <c r="M1816">
        <f t="shared" si="115"/>
        <v>0</v>
      </c>
    </row>
    <row r="1817" spans="1:13" x14ac:dyDescent="0.2">
      <c r="A1817" s="9">
        <v>44555</v>
      </c>
      <c r="B1817">
        <f t="shared" si="112"/>
        <v>25</v>
      </c>
      <c r="C1817">
        <f t="shared" si="113"/>
        <v>12</v>
      </c>
      <c r="D1817">
        <f t="shared" si="114"/>
        <v>2021</v>
      </c>
      <c r="E1817" s="11">
        <v>3.1309999999999998</v>
      </c>
      <c r="F1817" s="11">
        <v>101.54900000000001</v>
      </c>
      <c r="G1817" s="11">
        <v>27.4</v>
      </c>
      <c r="H1817" s="1" t="s">
        <v>0</v>
      </c>
      <c r="I1817">
        <v>0</v>
      </c>
      <c r="J1817">
        <v>32.700000000000003</v>
      </c>
      <c r="K1817" t="s">
        <v>6</v>
      </c>
      <c r="L1817">
        <v>28.7</v>
      </c>
      <c r="M1817">
        <f t="shared" si="115"/>
        <v>0</v>
      </c>
    </row>
    <row r="1818" spans="1:13" x14ac:dyDescent="0.2">
      <c r="A1818" s="9">
        <v>44556</v>
      </c>
      <c r="B1818">
        <f t="shared" si="112"/>
        <v>26</v>
      </c>
      <c r="C1818">
        <f t="shared" si="113"/>
        <v>12</v>
      </c>
      <c r="D1818">
        <f t="shared" si="114"/>
        <v>2021</v>
      </c>
      <c r="E1818" s="11">
        <v>3.1309999999999998</v>
      </c>
      <c r="F1818" s="11">
        <v>101.54900000000001</v>
      </c>
      <c r="G1818" s="11">
        <v>27.4</v>
      </c>
      <c r="H1818" s="1" t="s">
        <v>0</v>
      </c>
      <c r="I1818">
        <v>0</v>
      </c>
      <c r="J1818">
        <v>34.1</v>
      </c>
      <c r="K1818" t="s">
        <v>6</v>
      </c>
      <c r="L1818">
        <v>29</v>
      </c>
      <c r="M1818">
        <f t="shared" si="115"/>
        <v>0</v>
      </c>
    </row>
    <row r="1819" spans="1:13" x14ac:dyDescent="0.2">
      <c r="A1819" s="9">
        <v>44557</v>
      </c>
      <c r="B1819">
        <f t="shared" si="112"/>
        <v>27</v>
      </c>
      <c r="C1819">
        <f t="shared" si="113"/>
        <v>12</v>
      </c>
      <c r="D1819">
        <f t="shared" si="114"/>
        <v>2021</v>
      </c>
      <c r="E1819" s="11">
        <v>3.1309999999999998</v>
      </c>
      <c r="F1819" s="11">
        <v>101.54900000000001</v>
      </c>
      <c r="G1819" s="11">
        <v>27.4</v>
      </c>
      <c r="H1819" s="1" t="s">
        <v>0</v>
      </c>
      <c r="I1819">
        <v>0</v>
      </c>
      <c r="J1819">
        <v>34.200000000000003</v>
      </c>
      <c r="K1819" t="s">
        <v>6</v>
      </c>
      <c r="L1819">
        <v>27.3</v>
      </c>
      <c r="M1819">
        <f t="shared" si="115"/>
        <v>0</v>
      </c>
    </row>
    <row r="1820" spans="1:13" x14ac:dyDescent="0.2">
      <c r="A1820" s="9">
        <v>44558</v>
      </c>
      <c r="B1820">
        <f t="shared" si="112"/>
        <v>28</v>
      </c>
      <c r="C1820">
        <f t="shared" si="113"/>
        <v>12</v>
      </c>
      <c r="D1820">
        <f t="shared" si="114"/>
        <v>2021</v>
      </c>
      <c r="E1820" s="11">
        <v>3.1309999999999998</v>
      </c>
      <c r="F1820" s="11">
        <v>101.54900000000001</v>
      </c>
      <c r="G1820" s="11">
        <v>27.4</v>
      </c>
      <c r="H1820" s="1" t="s">
        <v>0</v>
      </c>
      <c r="I1820">
        <v>6.1</v>
      </c>
      <c r="J1820">
        <v>34.299999999999997</v>
      </c>
      <c r="K1820" t="s">
        <v>6</v>
      </c>
      <c r="L1820">
        <v>28.9</v>
      </c>
      <c r="M1820">
        <f t="shared" si="115"/>
        <v>1</v>
      </c>
    </row>
    <row r="1821" spans="1:13" x14ac:dyDescent="0.2">
      <c r="A1821" s="9">
        <v>44559</v>
      </c>
      <c r="B1821">
        <f t="shared" si="112"/>
        <v>29</v>
      </c>
      <c r="C1821">
        <f t="shared" si="113"/>
        <v>12</v>
      </c>
      <c r="D1821">
        <f t="shared" si="114"/>
        <v>2021</v>
      </c>
      <c r="E1821" s="11">
        <v>3.1309999999999998</v>
      </c>
      <c r="F1821" s="11">
        <v>101.54900000000001</v>
      </c>
      <c r="G1821" s="11">
        <v>27.4</v>
      </c>
      <c r="H1821" s="1" t="s">
        <v>0</v>
      </c>
      <c r="I1821">
        <v>0</v>
      </c>
      <c r="J1821" t="s">
        <v>6</v>
      </c>
      <c r="K1821" t="s">
        <v>6</v>
      </c>
      <c r="L1821">
        <v>28.7</v>
      </c>
      <c r="M1821">
        <f t="shared" si="115"/>
        <v>0</v>
      </c>
    </row>
    <row r="1822" spans="1:13" x14ac:dyDescent="0.2">
      <c r="A1822" s="9">
        <v>44560</v>
      </c>
      <c r="B1822">
        <f t="shared" si="112"/>
        <v>30</v>
      </c>
      <c r="C1822">
        <f t="shared" si="113"/>
        <v>12</v>
      </c>
      <c r="D1822">
        <f t="shared" si="114"/>
        <v>2021</v>
      </c>
      <c r="E1822" s="11">
        <v>3.1309999999999998</v>
      </c>
      <c r="F1822" s="11">
        <v>101.54900000000001</v>
      </c>
      <c r="G1822" s="11">
        <v>27.4</v>
      </c>
      <c r="H1822" s="1" t="s">
        <v>0</v>
      </c>
      <c r="I1822">
        <v>29.7</v>
      </c>
      <c r="J1822" t="s">
        <v>6</v>
      </c>
      <c r="K1822">
        <v>24.3</v>
      </c>
      <c r="L1822">
        <v>28.3</v>
      </c>
      <c r="M1822">
        <f t="shared" si="115"/>
        <v>1</v>
      </c>
    </row>
    <row r="1823" spans="1:13" x14ac:dyDescent="0.2">
      <c r="A1823" s="9">
        <v>44561</v>
      </c>
      <c r="B1823">
        <f t="shared" si="112"/>
        <v>31</v>
      </c>
      <c r="C1823">
        <f t="shared" si="113"/>
        <v>12</v>
      </c>
      <c r="D1823">
        <f t="shared" si="114"/>
        <v>2021</v>
      </c>
      <c r="E1823" s="11">
        <v>3.1309999999999998</v>
      </c>
      <c r="F1823" s="11">
        <v>101.54900000000001</v>
      </c>
      <c r="G1823" s="11">
        <v>27.4</v>
      </c>
      <c r="H1823" s="1" t="s">
        <v>0</v>
      </c>
      <c r="I1823">
        <v>0</v>
      </c>
      <c r="J1823">
        <v>32.200000000000003</v>
      </c>
      <c r="K1823" t="s">
        <v>6</v>
      </c>
      <c r="L1823">
        <v>26.5</v>
      </c>
      <c r="M1823">
        <f t="shared" si="115"/>
        <v>0</v>
      </c>
    </row>
    <row r="1824" spans="1:13" x14ac:dyDescent="0.2">
      <c r="A1824" s="9">
        <v>44562</v>
      </c>
      <c r="B1824">
        <f t="shared" si="112"/>
        <v>1</v>
      </c>
      <c r="C1824">
        <f t="shared" si="113"/>
        <v>1</v>
      </c>
      <c r="D1824">
        <f t="shared" si="114"/>
        <v>2022</v>
      </c>
      <c r="E1824" s="11">
        <v>3.1309999999999998</v>
      </c>
      <c r="F1824" s="11">
        <v>101.54900000000001</v>
      </c>
      <c r="G1824" s="11">
        <v>27.4</v>
      </c>
      <c r="H1824" s="1" t="s">
        <v>0</v>
      </c>
      <c r="I1824">
        <v>20.3</v>
      </c>
      <c r="J1824">
        <v>30.6</v>
      </c>
      <c r="K1824">
        <v>23.7</v>
      </c>
      <c r="L1824">
        <v>26.2</v>
      </c>
      <c r="M1824">
        <f t="shared" si="115"/>
        <v>1</v>
      </c>
    </row>
    <row r="1825" spans="1:13" x14ac:dyDescent="0.2">
      <c r="A1825" s="9">
        <v>44563</v>
      </c>
      <c r="B1825">
        <f t="shared" si="112"/>
        <v>2</v>
      </c>
      <c r="C1825">
        <f t="shared" si="113"/>
        <v>1</v>
      </c>
      <c r="D1825">
        <f t="shared" si="114"/>
        <v>2022</v>
      </c>
      <c r="E1825" s="11">
        <v>3.1309999999999998</v>
      </c>
      <c r="F1825" s="11">
        <v>101.54900000000001</v>
      </c>
      <c r="G1825" s="11">
        <v>27.4</v>
      </c>
      <c r="H1825" s="1" t="s">
        <v>0</v>
      </c>
      <c r="I1825">
        <v>2.2999999999999998</v>
      </c>
      <c r="J1825">
        <v>29.3</v>
      </c>
      <c r="K1825">
        <v>23.7</v>
      </c>
      <c r="L1825">
        <v>25.4</v>
      </c>
      <c r="M1825">
        <f t="shared" si="115"/>
        <v>1</v>
      </c>
    </row>
    <row r="1826" spans="1:13" x14ac:dyDescent="0.2">
      <c r="A1826" s="9">
        <v>44564</v>
      </c>
      <c r="B1826">
        <f t="shared" si="112"/>
        <v>3</v>
      </c>
      <c r="C1826">
        <f t="shared" si="113"/>
        <v>1</v>
      </c>
      <c r="D1826">
        <f t="shared" si="114"/>
        <v>2022</v>
      </c>
      <c r="E1826" s="11">
        <v>3.1309999999999998</v>
      </c>
      <c r="F1826" s="11">
        <v>101.54900000000001</v>
      </c>
      <c r="G1826" s="11">
        <v>27.4</v>
      </c>
      <c r="H1826" s="1" t="s">
        <v>0</v>
      </c>
      <c r="I1826">
        <v>21.1</v>
      </c>
      <c r="J1826">
        <v>29</v>
      </c>
      <c r="K1826">
        <v>23.8</v>
      </c>
      <c r="L1826">
        <v>25.8</v>
      </c>
      <c r="M1826">
        <f t="shared" si="115"/>
        <v>1</v>
      </c>
    </row>
    <row r="1827" spans="1:13" x14ac:dyDescent="0.2">
      <c r="A1827" s="9">
        <v>44565</v>
      </c>
      <c r="B1827">
        <f t="shared" si="112"/>
        <v>4</v>
      </c>
      <c r="C1827">
        <f t="shared" si="113"/>
        <v>1</v>
      </c>
      <c r="D1827">
        <f t="shared" si="114"/>
        <v>2022</v>
      </c>
      <c r="E1827" s="11">
        <v>3.1309999999999998</v>
      </c>
      <c r="F1827" s="11">
        <v>101.54900000000001</v>
      </c>
      <c r="G1827" s="11">
        <v>27.4</v>
      </c>
      <c r="H1827" s="1" t="s">
        <v>0</v>
      </c>
      <c r="I1827">
        <v>17.5</v>
      </c>
      <c r="J1827" t="s">
        <v>6</v>
      </c>
      <c r="K1827">
        <v>24.3</v>
      </c>
      <c r="L1827">
        <v>26.8</v>
      </c>
      <c r="M1827">
        <f t="shared" si="115"/>
        <v>1</v>
      </c>
    </row>
    <row r="1828" spans="1:13" x14ac:dyDescent="0.2">
      <c r="A1828" s="9">
        <v>44566</v>
      </c>
      <c r="B1828">
        <f t="shared" si="112"/>
        <v>5</v>
      </c>
      <c r="C1828">
        <f t="shared" si="113"/>
        <v>1</v>
      </c>
      <c r="D1828">
        <f t="shared" si="114"/>
        <v>2022</v>
      </c>
      <c r="E1828" s="11">
        <v>3.1309999999999998</v>
      </c>
      <c r="F1828" s="11">
        <v>101.54900000000001</v>
      </c>
      <c r="G1828" s="11">
        <v>27.4</v>
      </c>
      <c r="H1828" s="1" t="s">
        <v>0</v>
      </c>
      <c r="I1828">
        <v>63.5</v>
      </c>
      <c r="J1828">
        <v>33.5</v>
      </c>
      <c r="K1828" t="s">
        <v>6</v>
      </c>
      <c r="L1828">
        <v>27.3</v>
      </c>
      <c r="M1828">
        <f t="shared" si="115"/>
        <v>1</v>
      </c>
    </row>
    <row r="1829" spans="1:13" x14ac:dyDescent="0.2">
      <c r="A1829" s="9">
        <v>44567</v>
      </c>
      <c r="B1829">
        <f t="shared" si="112"/>
        <v>6</v>
      </c>
      <c r="C1829">
        <f t="shared" si="113"/>
        <v>1</v>
      </c>
      <c r="D1829">
        <f t="shared" si="114"/>
        <v>2022</v>
      </c>
      <c r="E1829" s="11">
        <v>3.1309999999999998</v>
      </c>
      <c r="F1829" s="11">
        <v>101.54900000000001</v>
      </c>
      <c r="G1829" s="11">
        <v>27.4</v>
      </c>
      <c r="H1829" s="1" t="s">
        <v>0</v>
      </c>
      <c r="I1829">
        <v>1.5</v>
      </c>
      <c r="J1829">
        <v>34</v>
      </c>
      <c r="K1829">
        <v>24</v>
      </c>
      <c r="L1829">
        <v>28.7</v>
      </c>
      <c r="M1829">
        <f t="shared" si="115"/>
        <v>1</v>
      </c>
    </row>
    <row r="1830" spans="1:13" x14ac:dyDescent="0.2">
      <c r="A1830" s="9">
        <v>44568</v>
      </c>
      <c r="B1830">
        <f t="shared" si="112"/>
        <v>7</v>
      </c>
      <c r="C1830">
        <f t="shared" si="113"/>
        <v>1</v>
      </c>
      <c r="D1830">
        <f t="shared" si="114"/>
        <v>2022</v>
      </c>
      <c r="E1830" s="11">
        <v>3.1309999999999998</v>
      </c>
      <c r="F1830" s="11">
        <v>101.54900000000001</v>
      </c>
      <c r="G1830" s="11">
        <v>27.4</v>
      </c>
      <c r="H1830" s="1" t="s">
        <v>0</v>
      </c>
      <c r="I1830">
        <v>0</v>
      </c>
      <c r="J1830">
        <v>34.200000000000003</v>
      </c>
      <c r="K1830">
        <v>24.4</v>
      </c>
      <c r="L1830">
        <v>27.6</v>
      </c>
      <c r="M1830">
        <f t="shared" si="115"/>
        <v>0</v>
      </c>
    </row>
    <row r="1831" spans="1:13" x14ac:dyDescent="0.2">
      <c r="A1831" s="9">
        <v>44569</v>
      </c>
      <c r="B1831">
        <f t="shared" si="112"/>
        <v>8</v>
      </c>
      <c r="C1831">
        <f t="shared" si="113"/>
        <v>1</v>
      </c>
      <c r="D1831">
        <f t="shared" si="114"/>
        <v>2022</v>
      </c>
      <c r="E1831" s="11">
        <v>3.1309999999999998</v>
      </c>
      <c r="F1831" s="11">
        <v>101.54900000000001</v>
      </c>
      <c r="G1831" s="11">
        <v>27.4</v>
      </c>
      <c r="H1831" s="1" t="s">
        <v>0</v>
      </c>
      <c r="I1831">
        <v>0.3</v>
      </c>
      <c r="J1831">
        <v>34.4</v>
      </c>
      <c r="K1831">
        <v>24.6</v>
      </c>
      <c r="L1831">
        <v>27.9</v>
      </c>
      <c r="M1831">
        <f t="shared" si="115"/>
        <v>1</v>
      </c>
    </row>
    <row r="1832" spans="1:13" x14ac:dyDescent="0.2">
      <c r="A1832" s="9">
        <v>44570</v>
      </c>
      <c r="B1832">
        <f t="shared" si="112"/>
        <v>9</v>
      </c>
      <c r="C1832">
        <f t="shared" si="113"/>
        <v>1</v>
      </c>
      <c r="D1832">
        <f t="shared" si="114"/>
        <v>2022</v>
      </c>
      <c r="E1832" s="11">
        <v>3.1309999999999998</v>
      </c>
      <c r="F1832" s="11">
        <v>101.54900000000001</v>
      </c>
      <c r="G1832" s="11">
        <v>27.4</v>
      </c>
      <c r="H1832" s="1" t="s">
        <v>0</v>
      </c>
      <c r="I1832">
        <v>0.3</v>
      </c>
      <c r="J1832">
        <v>34.5</v>
      </c>
      <c r="K1832">
        <v>24.7</v>
      </c>
      <c r="L1832">
        <v>28.6</v>
      </c>
      <c r="M1832">
        <f t="shared" si="115"/>
        <v>1</v>
      </c>
    </row>
    <row r="1833" spans="1:13" x14ac:dyDescent="0.2">
      <c r="A1833" s="9">
        <v>44571</v>
      </c>
      <c r="B1833">
        <f t="shared" si="112"/>
        <v>10</v>
      </c>
      <c r="C1833">
        <f t="shared" si="113"/>
        <v>1</v>
      </c>
      <c r="D1833">
        <f t="shared" si="114"/>
        <v>2022</v>
      </c>
      <c r="E1833" s="11">
        <v>3.1309999999999998</v>
      </c>
      <c r="F1833" s="11">
        <v>101.54900000000001</v>
      </c>
      <c r="G1833" s="11">
        <v>27.4</v>
      </c>
      <c r="H1833" s="1" t="s">
        <v>0</v>
      </c>
      <c r="I1833">
        <v>0</v>
      </c>
      <c r="J1833">
        <v>34.1</v>
      </c>
      <c r="K1833" t="s">
        <v>6</v>
      </c>
      <c r="L1833">
        <v>28.2</v>
      </c>
      <c r="M1833">
        <f t="shared" si="115"/>
        <v>0</v>
      </c>
    </row>
    <row r="1834" spans="1:13" x14ac:dyDescent="0.2">
      <c r="A1834" s="9">
        <v>44572</v>
      </c>
      <c r="B1834">
        <f t="shared" si="112"/>
        <v>11</v>
      </c>
      <c r="C1834">
        <f t="shared" si="113"/>
        <v>1</v>
      </c>
      <c r="D1834">
        <f t="shared" si="114"/>
        <v>2022</v>
      </c>
      <c r="E1834" s="11">
        <v>3.1309999999999998</v>
      </c>
      <c r="F1834" s="11">
        <v>101.54900000000001</v>
      </c>
      <c r="G1834" s="11">
        <v>27.4</v>
      </c>
      <c r="H1834" s="1" t="s">
        <v>0</v>
      </c>
      <c r="I1834">
        <v>0.8</v>
      </c>
      <c r="J1834">
        <v>32.200000000000003</v>
      </c>
      <c r="K1834" t="s">
        <v>6</v>
      </c>
      <c r="L1834">
        <v>27.7</v>
      </c>
      <c r="M1834">
        <f t="shared" si="115"/>
        <v>1</v>
      </c>
    </row>
    <row r="1835" spans="1:13" x14ac:dyDescent="0.2">
      <c r="A1835" s="9">
        <v>44573</v>
      </c>
      <c r="B1835">
        <f t="shared" si="112"/>
        <v>12</v>
      </c>
      <c r="C1835">
        <f t="shared" si="113"/>
        <v>1</v>
      </c>
      <c r="D1835">
        <f t="shared" si="114"/>
        <v>2022</v>
      </c>
      <c r="E1835" s="11">
        <v>3.1309999999999998</v>
      </c>
      <c r="F1835" s="11">
        <v>101.54900000000001</v>
      </c>
      <c r="G1835" s="11">
        <v>27.4</v>
      </c>
      <c r="H1835" s="1" t="s">
        <v>0</v>
      </c>
      <c r="I1835">
        <v>0</v>
      </c>
      <c r="J1835">
        <v>34.4</v>
      </c>
      <c r="K1835">
        <v>23.9</v>
      </c>
      <c r="L1835">
        <v>28.3</v>
      </c>
      <c r="M1835">
        <f t="shared" si="115"/>
        <v>0</v>
      </c>
    </row>
    <row r="1836" spans="1:13" x14ac:dyDescent="0.2">
      <c r="A1836" s="9">
        <v>44574</v>
      </c>
      <c r="B1836">
        <f t="shared" si="112"/>
        <v>13</v>
      </c>
      <c r="C1836">
        <f t="shared" si="113"/>
        <v>1</v>
      </c>
      <c r="D1836">
        <f t="shared" si="114"/>
        <v>2022</v>
      </c>
      <c r="E1836" s="11">
        <v>3.1309999999999998</v>
      </c>
      <c r="F1836" s="11">
        <v>101.54900000000001</v>
      </c>
      <c r="G1836" s="11">
        <v>27.4</v>
      </c>
      <c r="H1836" s="1" t="s">
        <v>0</v>
      </c>
      <c r="I1836">
        <v>0</v>
      </c>
      <c r="J1836" t="s">
        <v>6</v>
      </c>
      <c r="K1836" t="s">
        <v>6</v>
      </c>
      <c r="L1836">
        <v>28.1</v>
      </c>
      <c r="M1836">
        <f t="shared" si="115"/>
        <v>0</v>
      </c>
    </row>
    <row r="1837" spans="1:13" x14ac:dyDescent="0.2">
      <c r="A1837" s="9">
        <v>44575</v>
      </c>
      <c r="B1837">
        <f t="shared" si="112"/>
        <v>14</v>
      </c>
      <c r="C1837">
        <f t="shared" si="113"/>
        <v>1</v>
      </c>
      <c r="D1837">
        <f t="shared" si="114"/>
        <v>2022</v>
      </c>
      <c r="E1837" s="11">
        <v>3.1309999999999998</v>
      </c>
      <c r="F1837" s="11">
        <v>101.54900000000001</v>
      </c>
      <c r="G1837" s="11">
        <v>27.4</v>
      </c>
      <c r="H1837" s="1" t="s">
        <v>0</v>
      </c>
      <c r="I1837">
        <v>1.5</v>
      </c>
      <c r="J1837">
        <v>34.799999999999997</v>
      </c>
      <c r="K1837">
        <v>22.6</v>
      </c>
      <c r="L1837">
        <v>28.8</v>
      </c>
      <c r="M1837">
        <f t="shared" si="115"/>
        <v>1</v>
      </c>
    </row>
    <row r="1838" spans="1:13" x14ac:dyDescent="0.2">
      <c r="A1838" s="9">
        <v>44576</v>
      </c>
      <c r="B1838">
        <f t="shared" si="112"/>
        <v>15</v>
      </c>
      <c r="C1838">
        <f t="shared" si="113"/>
        <v>1</v>
      </c>
      <c r="D1838">
        <f t="shared" si="114"/>
        <v>2022</v>
      </c>
      <c r="E1838" s="11">
        <v>3.1309999999999998</v>
      </c>
      <c r="F1838" s="11">
        <v>101.54900000000001</v>
      </c>
      <c r="G1838" s="11">
        <v>27.4</v>
      </c>
      <c r="H1838" s="1" t="s">
        <v>0</v>
      </c>
      <c r="I1838">
        <v>0</v>
      </c>
      <c r="J1838">
        <v>34.700000000000003</v>
      </c>
      <c r="K1838">
        <v>23</v>
      </c>
      <c r="L1838">
        <v>28.7</v>
      </c>
      <c r="M1838">
        <f t="shared" si="115"/>
        <v>0</v>
      </c>
    </row>
    <row r="1839" spans="1:13" x14ac:dyDescent="0.2">
      <c r="A1839" s="9">
        <v>44577</v>
      </c>
      <c r="B1839">
        <f t="shared" si="112"/>
        <v>16</v>
      </c>
      <c r="C1839">
        <f t="shared" si="113"/>
        <v>1</v>
      </c>
      <c r="D1839">
        <f t="shared" si="114"/>
        <v>2022</v>
      </c>
      <c r="E1839" s="11">
        <v>3.1309999999999998</v>
      </c>
      <c r="F1839" s="11">
        <v>101.54900000000001</v>
      </c>
      <c r="G1839" s="11">
        <v>27.4</v>
      </c>
      <c r="H1839" s="1" t="s">
        <v>0</v>
      </c>
      <c r="I1839">
        <v>0</v>
      </c>
      <c r="J1839">
        <v>34.299999999999997</v>
      </c>
      <c r="K1839">
        <v>23.9</v>
      </c>
      <c r="L1839">
        <v>28.7</v>
      </c>
      <c r="M1839">
        <f t="shared" si="115"/>
        <v>0</v>
      </c>
    </row>
    <row r="1840" spans="1:13" x14ac:dyDescent="0.2">
      <c r="A1840" s="9">
        <v>44578</v>
      </c>
      <c r="B1840">
        <f t="shared" si="112"/>
        <v>17</v>
      </c>
      <c r="C1840">
        <f t="shared" si="113"/>
        <v>1</v>
      </c>
      <c r="D1840">
        <f t="shared" si="114"/>
        <v>2022</v>
      </c>
      <c r="E1840" s="11">
        <v>3.1309999999999998</v>
      </c>
      <c r="F1840" s="11">
        <v>101.54900000000001</v>
      </c>
      <c r="G1840" s="11">
        <v>27.4</v>
      </c>
      <c r="H1840" s="1" t="s">
        <v>0</v>
      </c>
      <c r="I1840">
        <v>0</v>
      </c>
      <c r="J1840">
        <v>34.200000000000003</v>
      </c>
      <c r="K1840" t="s">
        <v>6</v>
      </c>
      <c r="L1840">
        <v>28.3</v>
      </c>
      <c r="M1840">
        <f t="shared" si="115"/>
        <v>0</v>
      </c>
    </row>
    <row r="1841" spans="1:13" x14ac:dyDescent="0.2">
      <c r="A1841" s="9">
        <v>44579</v>
      </c>
      <c r="B1841">
        <f t="shared" si="112"/>
        <v>18</v>
      </c>
      <c r="C1841">
        <f t="shared" si="113"/>
        <v>1</v>
      </c>
      <c r="D1841">
        <f t="shared" si="114"/>
        <v>2022</v>
      </c>
      <c r="E1841" s="11">
        <v>3.1309999999999998</v>
      </c>
      <c r="F1841" s="11">
        <v>101.54900000000001</v>
      </c>
      <c r="G1841" s="11">
        <v>27.4</v>
      </c>
      <c r="H1841" s="1" t="s">
        <v>0</v>
      </c>
      <c r="I1841">
        <v>44.5</v>
      </c>
      <c r="J1841">
        <v>31.3</v>
      </c>
      <c r="K1841">
        <v>23.7</v>
      </c>
      <c r="L1841">
        <v>27.4</v>
      </c>
      <c r="M1841">
        <f t="shared" si="115"/>
        <v>1</v>
      </c>
    </row>
    <row r="1842" spans="1:13" x14ac:dyDescent="0.2">
      <c r="A1842" s="9">
        <v>44580</v>
      </c>
      <c r="B1842">
        <f t="shared" si="112"/>
        <v>19</v>
      </c>
      <c r="C1842">
        <f t="shared" si="113"/>
        <v>1</v>
      </c>
      <c r="D1842">
        <f t="shared" si="114"/>
        <v>2022</v>
      </c>
      <c r="E1842" s="11">
        <v>3.1309999999999998</v>
      </c>
      <c r="F1842" s="11">
        <v>101.54900000000001</v>
      </c>
      <c r="G1842" s="11">
        <v>27.4</v>
      </c>
      <c r="H1842" s="1" t="s">
        <v>0</v>
      </c>
      <c r="I1842">
        <v>0</v>
      </c>
      <c r="J1842">
        <v>33</v>
      </c>
      <c r="K1842" t="s">
        <v>6</v>
      </c>
      <c r="L1842">
        <v>27.3</v>
      </c>
      <c r="M1842">
        <f t="shared" si="115"/>
        <v>0</v>
      </c>
    </row>
    <row r="1843" spans="1:13" x14ac:dyDescent="0.2">
      <c r="A1843" s="9">
        <v>44581</v>
      </c>
      <c r="B1843">
        <f t="shared" si="112"/>
        <v>20</v>
      </c>
      <c r="C1843">
        <f t="shared" si="113"/>
        <v>1</v>
      </c>
      <c r="D1843">
        <f t="shared" si="114"/>
        <v>2022</v>
      </c>
      <c r="E1843" s="11">
        <v>3.1309999999999998</v>
      </c>
      <c r="F1843" s="11">
        <v>101.54900000000001</v>
      </c>
      <c r="G1843" s="11">
        <v>27.4</v>
      </c>
      <c r="H1843" s="1" t="s">
        <v>0</v>
      </c>
      <c r="I1843">
        <v>4.3</v>
      </c>
      <c r="J1843">
        <v>33.299999999999997</v>
      </c>
      <c r="K1843" t="s">
        <v>6</v>
      </c>
      <c r="L1843">
        <v>27.9</v>
      </c>
      <c r="M1843">
        <f t="shared" si="115"/>
        <v>1</v>
      </c>
    </row>
    <row r="1844" spans="1:13" x14ac:dyDescent="0.2">
      <c r="A1844" s="9">
        <v>44582</v>
      </c>
      <c r="B1844">
        <f t="shared" si="112"/>
        <v>21</v>
      </c>
      <c r="C1844">
        <f t="shared" si="113"/>
        <v>1</v>
      </c>
      <c r="D1844">
        <f t="shared" si="114"/>
        <v>2022</v>
      </c>
      <c r="E1844" s="11">
        <v>3.1309999999999998</v>
      </c>
      <c r="F1844" s="11">
        <v>101.54900000000001</v>
      </c>
      <c r="G1844" s="11">
        <v>27.4</v>
      </c>
      <c r="H1844" s="1" t="s">
        <v>0</v>
      </c>
      <c r="I1844">
        <v>0</v>
      </c>
      <c r="J1844">
        <v>35</v>
      </c>
      <c r="K1844" t="s">
        <v>6</v>
      </c>
      <c r="L1844">
        <v>28.8</v>
      </c>
      <c r="M1844">
        <f t="shared" si="115"/>
        <v>0</v>
      </c>
    </row>
    <row r="1845" spans="1:13" x14ac:dyDescent="0.2">
      <c r="A1845" s="9">
        <v>44583</v>
      </c>
      <c r="B1845">
        <f t="shared" si="112"/>
        <v>22</v>
      </c>
      <c r="C1845">
        <f t="shared" si="113"/>
        <v>1</v>
      </c>
      <c r="D1845">
        <f t="shared" si="114"/>
        <v>2022</v>
      </c>
      <c r="E1845" s="11">
        <v>3.1309999999999998</v>
      </c>
      <c r="F1845" s="11">
        <v>101.54900000000001</v>
      </c>
      <c r="G1845" s="11">
        <v>27.4</v>
      </c>
      <c r="H1845" s="1" t="s">
        <v>0</v>
      </c>
      <c r="I1845">
        <v>3.8</v>
      </c>
      <c r="J1845">
        <v>31.6</v>
      </c>
      <c r="K1845">
        <v>24</v>
      </c>
      <c r="L1845">
        <v>27.2</v>
      </c>
      <c r="M1845">
        <f t="shared" si="115"/>
        <v>1</v>
      </c>
    </row>
    <row r="1846" spans="1:13" x14ac:dyDescent="0.2">
      <c r="A1846" s="9">
        <v>44584</v>
      </c>
      <c r="B1846">
        <f t="shared" si="112"/>
        <v>23</v>
      </c>
      <c r="C1846">
        <f t="shared" si="113"/>
        <v>1</v>
      </c>
      <c r="D1846">
        <f t="shared" si="114"/>
        <v>2022</v>
      </c>
      <c r="E1846" s="11">
        <v>3.1309999999999998</v>
      </c>
      <c r="F1846" s="11">
        <v>101.54900000000001</v>
      </c>
      <c r="G1846" s="11">
        <v>27.4</v>
      </c>
      <c r="H1846" s="1" t="s">
        <v>0</v>
      </c>
      <c r="I1846">
        <v>2.2999999999999998</v>
      </c>
      <c r="J1846">
        <v>33.5</v>
      </c>
      <c r="K1846">
        <v>24</v>
      </c>
      <c r="L1846">
        <v>27.4</v>
      </c>
      <c r="M1846">
        <f t="shared" si="115"/>
        <v>1</v>
      </c>
    </row>
    <row r="1847" spans="1:13" x14ac:dyDescent="0.2">
      <c r="A1847" s="9">
        <v>44585</v>
      </c>
      <c r="B1847">
        <f t="shared" si="112"/>
        <v>24</v>
      </c>
      <c r="C1847">
        <f t="shared" si="113"/>
        <v>1</v>
      </c>
      <c r="D1847">
        <f t="shared" si="114"/>
        <v>2022</v>
      </c>
      <c r="E1847" s="11">
        <v>3.1309999999999998</v>
      </c>
      <c r="F1847" s="11">
        <v>101.54900000000001</v>
      </c>
      <c r="G1847" s="11">
        <v>27.4</v>
      </c>
      <c r="H1847" s="1" t="s">
        <v>0</v>
      </c>
      <c r="I1847">
        <v>17.5</v>
      </c>
      <c r="J1847" t="s">
        <v>6</v>
      </c>
      <c r="K1847" t="s">
        <v>6</v>
      </c>
      <c r="L1847">
        <v>27.2</v>
      </c>
      <c r="M1847">
        <f t="shared" si="115"/>
        <v>1</v>
      </c>
    </row>
    <row r="1848" spans="1:13" x14ac:dyDescent="0.2">
      <c r="A1848" s="9">
        <v>44586</v>
      </c>
      <c r="B1848">
        <f t="shared" si="112"/>
        <v>25</v>
      </c>
      <c r="C1848">
        <f t="shared" si="113"/>
        <v>1</v>
      </c>
      <c r="D1848">
        <f t="shared" si="114"/>
        <v>2022</v>
      </c>
      <c r="E1848" s="11">
        <v>3.1309999999999998</v>
      </c>
      <c r="F1848" s="11">
        <v>101.54900000000001</v>
      </c>
      <c r="G1848" s="11">
        <v>27.4</v>
      </c>
      <c r="H1848" s="1" t="s">
        <v>0</v>
      </c>
      <c r="I1848">
        <v>0</v>
      </c>
      <c r="J1848">
        <v>32.4</v>
      </c>
      <c r="K1848" t="s">
        <v>6</v>
      </c>
      <c r="L1848">
        <v>26.7</v>
      </c>
      <c r="M1848">
        <f t="shared" si="115"/>
        <v>0</v>
      </c>
    </row>
    <row r="1849" spans="1:13" x14ac:dyDescent="0.2">
      <c r="A1849" s="9">
        <v>44587</v>
      </c>
      <c r="B1849">
        <f t="shared" si="112"/>
        <v>26</v>
      </c>
      <c r="C1849">
        <f t="shared" si="113"/>
        <v>1</v>
      </c>
      <c r="D1849">
        <f t="shared" si="114"/>
        <v>2022</v>
      </c>
      <c r="E1849" s="11">
        <v>3.1309999999999998</v>
      </c>
      <c r="F1849" s="11">
        <v>101.54900000000001</v>
      </c>
      <c r="G1849" s="11">
        <v>27.4</v>
      </c>
      <c r="H1849" s="1" t="s">
        <v>0</v>
      </c>
      <c r="I1849">
        <v>10.9</v>
      </c>
      <c r="J1849">
        <v>33.4</v>
      </c>
      <c r="K1849">
        <v>24.3</v>
      </c>
      <c r="L1849">
        <v>28.1</v>
      </c>
      <c r="M1849">
        <f t="shared" si="115"/>
        <v>1</v>
      </c>
    </row>
    <row r="1850" spans="1:13" x14ac:dyDescent="0.2">
      <c r="A1850" s="9">
        <v>44588</v>
      </c>
      <c r="B1850">
        <f t="shared" si="112"/>
        <v>27</v>
      </c>
      <c r="C1850">
        <f t="shared" si="113"/>
        <v>1</v>
      </c>
      <c r="D1850">
        <f t="shared" si="114"/>
        <v>2022</v>
      </c>
      <c r="E1850" s="11">
        <v>3.1309999999999998</v>
      </c>
      <c r="F1850" s="11">
        <v>101.54900000000001</v>
      </c>
      <c r="G1850" s="11">
        <v>27.4</v>
      </c>
      <c r="H1850" s="1" t="s">
        <v>0</v>
      </c>
      <c r="I1850">
        <v>0</v>
      </c>
      <c r="J1850">
        <v>34.299999999999997</v>
      </c>
      <c r="K1850" t="s">
        <v>6</v>
      </c>
      <c r="L1850">
        <v>27.2</v>
      </c>
      <c r="M1850">
        <f t="shared" si="115"/>
        <v>0</v>
      </c>
    </row>
    <row r="1851" spans="1:13" x14ac:dyDescent="0.2">
      <c r="A1851" s="9">
        <v>44589</v>
      </c>
      <c r="B1851">
        <f t="shared" si="112"/>
        <v>28</v>
      </c>
      <c r="C1851">
        <f t="shared" si="113"/>
        <v>1</v>
      </c>
      <c r="D1851">
        <f t="shared" si="114"/>
        <v>2022</v>
      </c>
      <c r="E1851" s="11">
        <v>3.1309999999999998</v>
      </c>
      <c r="F1851" s="11">
        <v>101.54900000000001</v>
      </c>
      <c r="G1851" s="11">
        <v>27.4</v>
      </c>
      <c r="H1851" s="1" t="s">
        <v>0</v>
      </c>
      <c r="I1851">
        <v>15.7</v>
      </c>
      <c r="J1851" t="s">
        <v>6</v>
      </c>
      <c r="K1851" t="s">
        <v>6</v>
      </c>
      <c r="L1851">
        <v>27.5</v>
      </c>
      <c r="M1851">
        <f t="shared" si="115"/>
        <v>1</v>
      </c>
    </row>
    <row r="1852" spans="1:13" x14ac:dyDescent="0.2">
      <c r="A1852" s="9">
        <v>44590</v>
      </c>
      <c r="B1852">
        <f t="shared" si="112"/>
        <v>29</v>
      </c>
      <c r="C1852">
        <f t="shared" si="113"/>
        <v>1</v>
      </c>
      <c r="D1852">
        <f t="shared" si="114"/>
        <v>2022</v>
      </c>
      <c r="E1852" s="11">
        <v>3.1309999999999998</v>
      </c>
      <c r="F1852" s="11">
        <v>101.54900000000001</v>
      </c>
      <c r="G1852" s="11">
        <v>27.4</v>
      </c>
      <c r="H1852" s="1" t="s">
        <v>0</v>
      </c>
      <c r="I1852">
        <v>8.6</v>
      </c>
      <c r="J1852" t="s">
        <v>6</v>
      </c>
      <c r="K1852">
        <v>24.4</v>
      </c>
      <c r="L1852">
        <v>28.9</v>
      </c>
      <c r="M1852">
        <f t="shared" si="115"/>
        <v>1</v>
      </c>
    </row>
    <row r="1853" spans="1:13" x14ac:dyDescent="0.2">
      <c r="A1853" s="9">
        <v>44591</v>
      </c>
      <c r="B1853">
        <f t="shared" si="112"/>
        <v>30</v>
      </c>
      <c r="C1853">
        <f t="shared" si="113"/>
        <v>1</v>
      </c>
      <c r="D1853">
        <f t="shared" si="114"/>
        <v>2022</v>
      </c>
      <c r="E1853" s="11">
        <v>3.1309999999999998</v>
      </c>
      <c r="F1853" s="11">
        <v>101.54900000000001</v>
      </c>
      <c r="G1853" s="11">
        <v>27.4</v>
      </c>
      <c r="H1853" s="1" t="s">
        <v>0</v>
      </c>
      <c r="I1853">
        <v>0</v>
      </c>
      <c r="J1853">
        <v>34.299999999999997</v>
      </c>
      <c r="K1853">
        <v>24.6</v>
      </c>
      <c r="L1853">
        <v>28.9</v>
      </c>
      <c r="M1853">
        <f t="shared" si="115"/>
        <v>0</v>
      </c>
    </row>
    <row r="1854" spans="1:13" x14ac:dyDescent="0.2">
      <c r="A1854" s="9">
        <v>44592</v>
      </c>
      <c r="B1854">
        <f t="shared" si="112"/>
        <v>31</v>
      </c>
      <c r="C1854">
        <f t="shared" si="113"/>
        <v>1</v>
      </c>
      <c r="D1854">
        <f t="shared" si="114"/>
        <v>2022</v>
      </c>
      <c r="E1854" s="11">
        <v>3.1309999999999998</v>
      </c>
      <c r="F1854" s="11">
        <v>101.54900000000001</v>
      </c>
      <c r="G1854" s="11">
        <v>27.4</v>
      </c>
      <c r="H1854" s="1" t="s">
        <v>0</v>
      </c>
      <c r="I1854">
        <v>0</v>
      </c>
      <c r="J1854">
        <v>34</v>
      </c>
      <c r="K1854" t="s">
        <v>6</v>
      </c>
      <c r="L1854">
        <v>27.4</v>
      </c>
      <c r="M1854">
        <f t="shared" si="115"/>
        <v>0</v>
      </c>
    </row>
    <row r="1855" spans="1:13" x14ac:dyDescent="0.2">
      <c r="A1855" s="9">
        <v>44593</v>
      </c>
      <c r="B1855">
        <f t="shared" si="112"/>
        <v>1</v>
      </c>
      <c r="C1855">
        <f t="shared" si="113"/>
        <v>2</v>
      </c>
      <c r="D1855">
        <f t="shared" si="114"/>
        <v>2022</v>
      </c>
      <c r="E1855" s="11">
        <v>3.1309999999999998</v>
      </c>
      <c r="F1855" s="11">
        <v>101.54900000000001</v>
      </c>
      <c r="G1855" s="11">
        <v>27.4</v>
      </c>
      <c r="H1855" s="1" t="s">
        <v>0</v>
      </c>
      <c r="I1855">
        <v>4.5999999999999996</v>
      </c>
      <c r="J1855">
        <v>33.5</v>
      </c>
      <c r="K1855">
        <v>24.5</v>
      </c>
      <c r="L1855">
        <v>27.8</v>
      </c>
      <c r="M1855">
        <f t="shared" si="115"/>
        <v>1</v>
      </c>
    </row>
    <row r="1856" spans="1:13" x14ac:dyDescent="0.2">
      <c r="A1856" s="9">
        <v>44594</v>
      </c>
      <c r="B1856">
        <f t="shared" si="112"/>
        <v>2</v>
      </c>
      <c r="C1856">
        <f t="shared" si="113"/>
        <v>2</v>
      </c>
      <c r="D1856">
        <f t="shared" si="114"/>
        <v>2022</v>
      </c>
      <c r="E1856" s="11">
        <v>3.1309999999999998</v>
      </c>
      <c r="F1856" s="11">
        <v>101.54900000000001</v>
      </c>
      <c r="G1856" s="11">
        <v>27.4</v>
      </c>
      <c r="H1856" s="1" t="s">
        <v>0</v>
      </c>
      <c r="I1856">
        <v>1.3</v>
      </c>
      <c r="J1856">
        <v>34</v>
      </c>
      <c r="K1856" t="s">
        <v>6</v>
      </c>
      <c r="L1856">
        <v>27.2</v>
      </c>
      <c r="M1856">
        <f t="shared" si="115"/>
        <v>1</v>
      </c>
    </row>
    <row r="1857" spans="1:13" x14ac:dyDescent="0.2">
      <c r="A1857" s="9">
        <v>44595</v>
      </c>
      <c r="B1857">
        <f t="shared" si="112"/>
        <v>3</v>
      </c>
      <c r="C1857">
        <f t="shared" si="113"/>
        <v>2</v>
      </c>
      <c r="D1857">
        <f t="shared" si="114"/>
        <v>2022</v>
      </c>
      <c r="E1857" s="11">
        <v>3.1309999999999998</v>
      </c>
      <c r="F1857" s="11">
        <v>101.54900000000001</v>
      </c>
      <c r="G1857" s="11">
        <v>27.4</v>
      </c>
      <c r="H1857" s="1" t="s">
        <v>0</v>
      </c>
      <c r="I1857">
        <v>19.100000000000001</v>
      </c>
      <c r="J1857" t="s">
        <v>6</v>
      </c>
      <c r="K1857">
        <v>23.8</v>
      </c>
      <c r="L1857">
        <v>27.9</v>
      </c>
      <c r="M1857">
        <f t="shared" si="115"/>
        <v>1</v>
      </c>
    </row>
    <row r="1858" spans="1:13" x14ac:dyDescent="0.2">
      <c r="A1858" s="9">
        <v>44596</v>
      </c>
      <c r="B1858">
        <f t="shared" si="112"/>
        <v>4</v>
      </c>
      <c r="C1858">
        <f t="shared" si="113"/>
        <v>2</v>
      </c>
      <c r="D1858">
        <f t="shared" si="114"/>
        <v>2022</v>
      </c>
      <c r="E1858" s="11">
        <v>3.1309999999999998</v>
      </c>
      <c r="F1858" s="11">
        <v>101.54900000000001</v>
      </c>
      <c r="G1858" s="11">
        <v>27.4</v>
      </c>
      <c r="H1858" s="1" t="s">
        <v>0</v>
      </c>
      <c r="I1858">
        <v>2.5</v>
      </c>
      <c r="J1858">
        <v>34.4</v>
      </c>
      <c r="K1858">
        <v>23.7</v>
      </c>
      <c r="L1858">
        <v>27.8</v>
      </c>
      <c r="M1858">
        <f t="shared" si="115"/>
        <v>1</v>
      </c>
    </row>
    <row r="1859" spans="1:13" x14ac:dyDescent="0.2">
      <c r="A1859" s="9">
        <v>44597</v>
      </c>
      <c r="B1859">
        <f t="shared" ref="B1859:B1922" si="116">DAY(A1859)</f>
        <v>5</v>
      </c>
      <c r="C1859">
        <f t="shared" ref="C1859:C1922" si="117">MONTH(A1859)</f>
        <v>2</v>
      </c>
      <c r="D1859">
        <f t="shared" ref="D1859:D1922" si="118">YEAR(A1859)</f>
        <v>2022</v>
      </c>
      <c r="E1859" s="11">
        <v>3.1309999999999998</v>
      </c>
      <c r="F1859" s="11">
        <v>101.54900000000001</v>
      </c>
      <c r="G1859" s="11">
        <v>27.4</v>
      </c>
      <c r="H1859" s="1" t="s">
        <v>0</v>
      </c>
      <c r="I1859">
        <v>20.100000000000001</v>
      </c>
      <c r="J1859">
        <v>33.6</v>
      </c>
      <c r="K1859">
        <v>23.8</v>
      </c>
      <c r="L1859">
        <v>27.1</v>
      </c>
      <c r="M1859">
        <f t="shared" ref="M1859:M1922" si="119">IF(ISNUMBER(I1859), IF(I1859&gt;0, 1, 0), "")</f>
        <v>1</v>
      </c>
    </row>
    <row r="1860" spans="1:13" x14ac:dyDescent="0.2">
      <c r="A1860" s="9">
        <v>44598</v>
      </c>
      <c r="B1860">
        <f t="shared" si="116"/>
        <v>6</v>
      </c>
      <c r="C1860">
        <f t="shared" si="117"/>
        <v>2</v>
      </c>
      <c r="D1860">
        <f t="shared" si="118"/>
        <v>2022</v>
      </c>
      <c r="E1860" s="11">
        <v>3.1309999999999998</v>
      </c>
      <c r="F1860" s="11">
        <v>101.54900000000001</v>
      </c>
      <c r="G1860" s="11">
        <v>27.4</v>
      </c>
      <c r="H1860" s="1" t="s">
        <v>0</v>
      </c>
      <c r="I1860">
        <v>27.7</v>
      </c>
      <c r="J1860">
        <v>31.2</v>
      </c>
      <c r="K1860">
        <v>23.9</v>
      </c>
      <c r="L1860">
        <v>27.5</v>
      </c>
      <c r="M1860">
        <f t="shared" si="119"/>
        <v>1</v>
      </c>
    </row>
    <row r="1861" spans="1:13" x14ac:dyDescent="0.2">
      <c r="A1861" s="9">
        <v>44599</v>
      </c>
      <c r="B1861">
        <f t="shared" si="116"/>
        <v>7</v>
      </c>
      <c r="C1861">
        <f t="shared" si="117"/>
        <v>2</v>
      </c>
      <c r="D1861">
        <f t="shared" si="118"/>
        <v>2022</v>
      </c>
      <c r="E1861" s="11">
        <v>3.1309999999999998</v>
      </c>
      <c r="F1861" s="11">
        <v>101.54900000000001</v>
      </c>
      <c r="G1861" s="11">
        <v>27.4</v>
      </c>
      <c r="H1861" s="1" t="s">
        <v>0</v>
      </c>
      <c r="I1861">
        <v>0</v>
      </c>
      <c r="J1861" t="s">
        <v>6</v>
      </c>
      <c r="K1861" t="s">
        <v>6</v>
      </c>
      <c r="L1861">
        <v>27.7</v>
      </c>
      <c r="M1861">
        <f t="shared" si="119"/>
        <v>0</v>
      </c>
    </row>
    <row r="1862" spans="1:13" x14ac:dyDescent="0.2">
      <c r="A1862" s="9">
        <v>44600</v>
      </c>
      <c r="B1862">
        <f t="shared" si="116"/>
        <v>8</v>
      </c>
      <c r="C1862">
        <f t="shared" si="117"/>
        <v>2</v>
      </c>
      <c r="D1862">
        <f t="shared" si="118"/>
        <v>2022</v>
      </c>
      <c r="E1862" s="11">
        <v>3.1309999999999998</v>
      </c>
      <c r="F1862" s="11">
        <v>101.54900000000001</v>
      </c>
      <c r="G1862" s="11">
        <v>27.4</v>
      </c>
      <c r="H1862" s="1" t="s">
        <v>0</v>
      </c>
      <c r="I1862">
        <v>0.3</v>
      </c>
      <c r="J1862">
        <v>30.5</v>
      </c>
      <c r="K1862">
        <v>24</v>
      </c>
      <c r="L1862">
        <v>27.4</v>
      </c>
      <c r="M1862">
        <f t="shared" si="119"/>
        <v>1</v>
      </c>
    </row>
    <row r="1863" spans="1:13" x14ac:dyDescent="0.2">
      <c r="A1863" s="9">
        <v>44601</v>
      </c>
      <c r="B1863">
        <f t="shared" si="116"/>
        <v>9</v>
      </c>
      <c r="C1863">
        <f t="shared" si="117"/>
        <v>2</v>
      </c>
      <c r="D1863">
        <f t="shared" si="118"/>
        <v>2022</v>
      </c>
      <c r="E1863" s="11">
        <v>3.1309999999999998</v>
      </c>
      <c r="F1863" s="11">
        <v>101.54900000000001</v>
      </c>
      <c r="G1863" s="11">
        <v>27.4</v>
      </c>
      <c r="H1863" s="1" t="s">
        <v>0</v>
      </c>
      <c r="I1863">
        <v>0</v>
      </c>
      <c r="J1863">
        <v>31.4</v>
      </c>
      <c r="K1863">
        <v>24.2</v>
      </c>
      <c r="L1863">
        <v>27.3</v>
      </c>
      <c r="M1863">
        <f t="shared" si="119"/>
        <v>0</v>
      </c>
    </row>
    <row r="1864" spans="1:13" x14ac:dyDescent="0.2">
      <c r="A1864" s="9">
        <v>44602</v>
      </c>
      <c r="B1864">
        <f t="shared" si="116"/>
        <v>10</v>
      </c>
      <c r="C1864">
        <f t="shared" si="117"/>
        <v>2</v>
      </c>
      <c r="D1864">
        <f t="shared" si="118"/>
        <v>2022</v>
      </c>
      <c r="E1864" s="11">
        <v>3.1309999999999998</v>
      </c>
      <c r="F1864" s="11">
        <v>101.54900000000001</v>
      </c>
      <c r="G1864" s="11">
        <v>27.4</v>
      </c>
      <c r="H1864" s="1" t="s">
        <v>0</v>
      </c>
      <c r="I1864">
        <v>5.0999999999999996</v>
      </c>
      <c r="J1864">
        <v>27.3</v>
      </c>
      <c r="K1864" t="s">
        <v>6</v>
      </c>
      <c r="L1864">
        <v>25.4</v>
      </c>
      <c r="M1864">
        <f t="shared" si="119"/>
        <v>1</v>
      </c>
    </row>
    <row r="1865" spans="1:13" x14ac:dyDescent="0.2">
      <c r="A1865" s="9">
        <v>44603</v>
      </c>
      <c r="B1865">
        <f t="shared" si="116"/>
        <v>11</v>
      </c>
      <c r="C1865">
        <f t="shared" si="117"/>
        <v>2</v>
      </c>
      <c r="D1865">
        <f t="shared" si="118"/>
        <v>2022</v>
      </c>
      <c r="E1865" s="11">
        <v>3.1309999999999998</v>
      </c>
      <c r="F1865" s="11">
        <v>101.54900000000001</v>
      </c>
      <c r="G1865" s="11">
        <v>27.4</v>
      </c>
      <c r="H1865" s="1" t="s">
        <v>0</v>
      </c>
      <c r="I1865">
        <v>7.9</v>
      </c>
      <c r="J1865">
        <v>29.2</v>
      </c>
      <c r="K1865" t="s">
        <v>6</v>
      </c>
      <c r="L1865">
        <v>26</v>
      </c>
      <c r="M1865">
        <f t="shared" si="119"/>
        <v>1</v>
      </c>
    </row>
    <row r="1866" spans="1:13" x14ac:dyDescent="0.2">
      <c r="A1866" s="9">
        <v>44604</v>
      </c>
      <c r="B1866">
        <f t="shared" si="116"/>
        <v>12</v>
      </c>
      <c r="C1866">
        <f t="shared" si="117"/>
        <v>2</v>
      </c>
      <c r="D1866">
        <f t="shared" si="118"/>
        <v>2022</v>
      </c>
      <c r="E1866" s="11">
        <v>3.1309999999999998</v>
      </c>
      <c r="F1866" s="11">
        <v>101.54900000000001</v>
      </c>
      <c r="G1866" s="11">
        <v>27.4</v>
      </c>
      <c r="H1866" s="1" t="s">
        <v>0</v>
      </c>
      <c r="I1866">
        <v>0.5</v>
      </c>
      <c r="J1866">
        <v>33.5</v>
      </c>
      <c r="K1866">
        <v>23</v>
      </c>
      <c r="L1866">
        <v>27.9</v>
      </c>
      <c r="M1866">
        <f t="shared" si="119"/>
        <v>1</v>
      </c>
    </row>
    <row r="1867" spans="1:13" x14ac:dyDescent="0.2">
      <c r="A1867" s="9">
        <v>44605</v>
      </c>
      <c r="B1867">
        <f t="shared" si="116"/>
        <v>13</v>
      </c>
      <c r="C1867">
        <f t="shared" si="117"/>
        <v>2</v>
      </c>
      <c r="D1867">
        <f t="shared" si="118"/>
        <v>2022</v>
      </c>
      <c r="E1867" s="11">
        <v>3.1309999999999998</v>
      </c>
      <c r="F1867" s="11">
        <v>101.54900000000001</v>
      </c>
      <c r="G1867" s="11">
        <v>27.4</v>
      </c>
      <c r="H1867" s="1" t="s">
        <v>0</v>
      </c>
      <c r="I1867">
        <v>0</v>
      </c>
      <c r="J1867">
        <v>33.700000000000003</v>
      </c>
      <c r="K1867">
        <v>23.1</v>
      </c>
      <c r="L1867">
        <v>27.7</v>
      </c>
      <c r="M1867">
        <f t="shared" si="119"/>
        <v>0</v>
      </c>
    </row>
    <row r="1868" spans="1:13" x14ac:dyDescent="0.2">
      <c r="A1868" s="9">
        <v>44606</v>
      </c>
      <c r="B1868">
        <f t="shared" si="116"/>
        <v>14</v>
      </c>
      <c r="C1868">
        <f t="shared" si="117"/>
        <v>2</v>
      </c>
      <c r="D1868">
        <f t="shared" si="118"/>
        <v>2022</v>
      </c>
      <c r="E1868" s="11">
        <v>3.1309999999999998</v>
      </c>
      <c r="F1868" s="11">
        <v>101.54900000000001</v>
      </c>
      <c r="G1868" s="11">
        <v>27.4</v>
      </c>
      <c r="H1868" s="1" t="s">
        <v>0</v>
      </c>
      <c r="I1868">
        <v>0</v>
      </c>
      <c r="J1868">
        <v>33.4</v>
      </c>
      <c r="K1868" t="s">
        <v>6</v>
      </c>
      <c r="L1868">
        <v>27.8</v>
      </c>
      <c r="M1868">
        <f t="shared" si="119"/>
        <v>0</v>
      </c>
    </row>
    <row r="1869" spans="1:13" x14ac:dyDescent="0.2">
      <c r="A1869" s="9">
        <v>44607</v>
      </c>
      <c r="B1869">
        <f t="shared" si="116"/>
        <v>15</v>
      </c>
      <c r="C1869">
        <f t="shared" si="117"/>
        <v>2</v>
      </c>
      <c r="D1869">
        <f t="shared" si="118"/>
        <v>2022</v>
      </c>
      <c r="E1869" s="11">
        <v>3.1309999999999998</v>
      </c>
      <c r="F1869" s="11">
        <v>101.54900000000001</v>
      </c>
      <c r="G1869" s="11">
        <v>27.4</v>
      </c>
      <c r="H1869" s="1" t="s">
        <v>0</v>
      </c>
      <c r="I1869">
        <v>3.8</v>
      </c>
      <c r="J1869">
        <v>34.200000000000003</v>
      </c>
      <c r="K1869" t="s">
        <v>6</v>
      </c>
      <c r="L1869">
        <v>29.3</v>
      </c>
      <c r="M1869">
        <f t="shared" si="119"/>
        <v>1</v>
      </c>
    </row>
    <row r="1870" spans="1:13" x14ac:dyDescent="0.2">
      <c r="A1870" s="9">
        <v>44608</v>
      </c>
      <c r="B1870">
        <f t="shared" si="116"/>
        <v>16</v>
      </c>
      <c r="C1870">
        <f t="shared" si="117"/>
        <v>2</v>
      </c>
      <c r="D1870">
        <f t="shared" si="118"/>
        <v>2022</v>
      </c>
      <c r="E1870" s="11">
        <v>3.1309999999999998</v>
      </c>
      <c r="F1870" s="11">
        <v>101.54900000000001</v>
      </c>
      <c r="G1870" s="11">
        <v>27.4</v>
      </c>
      <c r="H1870" s="1" t="s">
        <v>0</v>
      </c>
      <c r="I1870">
        <v>0.5</v>
      </c>
      <c r="J1870">
        <v>34.4</v>
      </c>
      <c r="K1870" t="s">
        <v>6</v>
      </c>
      <c r="L1870">
        <v>28.7</v>
      </c>
      <c r="M1870">
        <f t="shared" si="119"/>
        <v>1</v>
      </c>
    </row>
    <row r="1871" spans="1:13" x14ac:dyDescent="0.2">
      <c r="A1871" s="9">
        <v>44609</v>
      </c>
      <c r="B1871">
        <f t="shared" si="116"/>
        <v>17</v>
      </c>
      <c r="C1871">
        <f t="shared" si="117"/>
        <v>2</v>
      </c>
      <c r="D1871">
        <f t="shared" si="118"/>
        <v>2022</v>
      </c>
      <c r="E1871" s="11">
        <v>3.1309999999999998</v>
      </c>
      <c r="F1871" s="11">
        <v>101.54900000000001</v>
      </c>
      <c r="G1871" s="11">
        <v>27.4</v>
      </c>
      <c r="H1871" s="1" t="s">
        <v>0</v>
      </c>
      <c r="I1871">
        <v>3.6</v>
      </c>
      <c r="J1871">
        <v>34.1</v>
      </c>
      <c r="K1871">
        <v>24</v>
      </c>
      <c r="L1871">
        <v>29.1</v>
      </c>
      <c r="M1871">
        <f t="shared" si="119"/>
        <v>1</v>
      </c>
    </row>
    <row r="1872" spans="1:13" x14ac:dyDescent="0.2">
      <c r="A1872" s="9">
        <v>44610</v>
      </c>
      <c r="B1872">
        <f t="shared" si="116"/>
        <v>18</v>
      </c>
      <c r="C1872">
        <f t="shared" si="117"/>
        <v>2</v>
      </c>
      <c r="D1872">
        <f t="shared" si="118"/>
        <v>2022</v>
      </c>
      <c r="E1872" s="11">
        <v>3.1309999999999998</v>
      </c>
      <c r="F1872" s="11">
        <v>101.54900000000001</v>
      </c>
      <c r="G1872" s="11">
        <v>27.4</v>
      </c>
      <c r="H1872" s="1" t="s">
        <v>0</v>
      </c>
      <c r="I1872">
        <v>0</v>
      </c>
      <c r="J1872" t="s">
        <v>6</v>
      </c>
      <c r="K1872">
        <v>23.9</v>
      </c>
      <c r="L1872">
        <v>30.3</v>
      </c>
      <c r="M1872">
        <f t="shared" si="119"/>
        <v>0</v>
      </c>
    </row>
    <row r="1873" spans="1:13" x14ac:dyDescent="0.2">
      <c r="A1873" s="9">
        <v>44611</v>
      </c>
      <c r="B1873">
        <f t="shared" si="116"/>
        <v>19</v>
      </c>
      <c r="C1873">
        <f t="shared" si="117"/>
        <v>2</v>
      </c>
      <c r="D1873">
        <f t="shared" si="118"/>
        <v>2022</v>
      </c>
      <c r="E1873" s="11">
        <v>3.1309999999999998</v>
      </c>
      <c r="F1873" s="11">
        <v>101.54900000000001</v>
      </c>
      <c r="G1873" s="11">
        <v>27.4</v>
      </c>
      <c r="H1873" s="1" t="s">
        <v>0</v>
      </c>
      <c r="I1873">
        <v>0</v>
      </c>
      <c r="J1873">
        <v>35.200000000000003</v>
      </c>
      <c r="K1873">
        <v>25.5</v>
      </c>
      <c r="L1873">
        <v>29.8</v>
      </c>
      <c r="M1873">
        <f t="shared" si="119"/>
        <v>0</v>
      </c>
    </row>
    <row r="1874" spans="1:13" x14ac:dyDescent="0.2">
      <c r="A1874" s="9">
        <v>44612</v>
      </c>
      <c r="B1874">
        <f t="shared" si="116"/>
        <v>20</v>
      </c>
      <c r="C1874">
        <f t="shared" si="117"/>
        <v>2</v>
      </c>
      <c r="D1874">
        <f t="shared" si="118"/>
        <v>2022</v>
      </c>
      <c r="E1874" s="11">
        <v>3.1309999999999998</v>
      </c>
      <c r="F1874" s="11">
        <v>101.54900000000001</v>
      </c>
      <c r="G1874" s="11">
        <v>27.4</v>
      </c>
      <c r="H1874" s="1" t="s">
        <v>0</v>
      </c>
      <c r="I1874">
        <v>0</v>
      </c>
      <c r="J1874" t="s">
        <v>6</v>
      </c>
      <c r="K1874" t="s">
        <v>6</v>
      </c>
      <c r="L1874">
        <v>28.5</v>
      </c>
      <c r="M1874">
        <f t="shared" si="119"/>
        <v>0</v>
      </c>
    </row>
    <row r="1875" spans="1:13" x14ac:dyDescent="0.2">
      <c r="A1875" s="9">
        <v>44613</v>
      </c>
      <c r="B1875">
        <f t="shared" si="116"/>
        <v>21</v>
      </c>
      <c r="C1875">
        <f t="shared" si="117"/>
        <v>2</v>
      </c>
      <c r="D1875">
        <f t="shared" si="118"/>
        <v>2022</v>
      </c>
      <c r="E1875" s="11">
        <v>3.1309999999999998</v>
      </c>
      <c r="F1875" s="11">
        <v>101.54900000000001</v>
      </c>
      <c r="G1875" s="11">
        <v>27.4</v>
      </c>
      <c r="H1875" s="1" t="s">
        <v>0</v>
      </c>
      <c r="I1875">
        <v>0</v>
      </c>
      <c r="J1875">
        <v>35</v>
      </c>
      <c r="K1875" t="s">
        <v>6</v>
      </c>
      <c r="L1875">
        <v>27.4</v>
      </c>
      <c r="M1875">
        <f t="shared" si="119"/>
        <v>0</v>
      </c>
    </row>
    <row r="1876" spans="1:13" x14ac:dyDescent="0.2">
      <c r="A1876" s="9">
        <v>44614</v>
      </c>
      <c r="B1876">
        <f t="shared" si="116"/>
        <v>22</v>
      </c>
      <c r="C1876">
        <f t="shared" si="117"/>
        <v>2</v>
      </c>
      <c r="D1876">
        <f t="shared" si="118"/>
        <v>2022</v>
      </c>
      <c r="E1876" s="11">
        <v>3.1309999999999998</v>
      </c>
      <c r="F1876" s="11">
        <v>101.54900000000001</v>
      </c>
      <c r="G1876" s="11">
        <v>27.4</v>
      </c>
      <c r="H1876" s="1" t="s">
        <v>0</v>
      </c>
      <c r="I1876">
        <v>4.0999999999999996</v>
      </c>
      <c r="J1876">
        <v>34.4</v>
      </c>
      <c r="K1876" t="s">
        <v>6</v>
      </c>
      <c r="L1876">
        <v>26.7</v>
      </c>
      <c r="M1876">
        <f t="shared" si="119"/>
        <v>1</v>
      </c>
    </row>
    <row r="1877" spans="1:13" x14ac:dyDescent="0.2">
      <c r="A1877" s="9">
        <v>44615</v>
      </c>
      <c r="B1877">
        <f t="shared" si="116"/>
        <v>23</v>
      </c>
      <c r="C1877">
        <f t="shared" si="117"/>
        <v>2</v>
      </c>
      <c r="D1877">
        <f t="shared" si="118"/>
        <v>2022</v>
      </c>
      <c r="E1877" s="11">
        <v>3.1309999999999998</v>
      </c>
      <c r="F1877" s="11">
        <v>101.54900000000001</v>
      </c>
      <c r="G1877" s="11">
        <v>27.4</v>
      </c>
      <c r="H1877" s="1" t="s">
        <v>0</v>
      </c>
      <c r="I1877">
        <v>18.5</v>
      </c>
      <c r="J1877">
        <v>34.200000000000003</v>
      </c>
      <c r="K1877">
        <v>22.7</v>
      </c>
      <c r="L1877">
        <v>27.5</v>
      </c>
      <c r="M1877">
        <f t="shared" si="119"/>
        <v>1</v>
      </c>
    </row>
    <row r="1878" spans="1:13" x14ac:dyDescent="0.2">
      <c r="A1878" s="9">
        <v>44616</v>
      </c>
      <c r="B1878">
        <f t="shared" si="116"/>
        <v>24</v>
      </c>
      <c r="C1878">
        <f t="shared" si="117"/>
        <v>2</v>
      </c>
      <c r="D1878">
        <f t="shared" si="118"/>
        <v>2022</v>
      </c>
      <c r="E1878" s="11">
        <v>3.1309999999999998</v>
      </c>
      <c r="F1878" s="11">
        <v>101.54900000000001</v>
      </c>
      <c r="G1878" s="11">
        <v>27.4</v>
      </c>
      <c r="H1878" s="1" t="s">
        <v>0</v>
      </c>
      <c r="I1878">
        <v>32.5</v>
      </c>
      <c r="J1878" t="s">
        <v>6</v>
      </c>
      <c r="K1878" t="s">
        <v>6</v>
      </c>
      <c r="L1878">
        <v>25.6</v>
      </c>
      <c r="M1878">
        <f t="shared" si="119"/>
        <v>1</v>
      </c>
    </row>
    <row r="1879" spans="1:13" x14ac:dyDescent="0.2">
      <c r="A1879" s="9">
        <v>44617</v>
      </c>
      <c r="B1879">
        <f t="shared" si="116"/>
        <v>25</v>
      </c>
      <c r="C1879">
        <f t="shared" si="117"/>
        <v>2</v>
      </c>
      <c r="D1879">
        <f t="shared" si="118"/>
        <v>2022</v>
      </c>
      <c r="E1879" s="11">
        <v>3.1309999999999998</v>
      </c>
      <c r="F1879" s="11">
        <v>101.54900000000001</v>
      </c>
      <c r="G1879" s="11">
        <v>27.4</v>
      </c>
      <c r="H1879" s="1" t="s">
        <v>0</v>
      </c>
      <c r="I1879">
        <v>6.1</v>
      </c>
      <c r="J1879">
        <v>32.6</v>
      </c>
      <c r="K1879" t="s">
        <v>6</v>
      </c>
      <c r="L1879">
        <v>26.1</v>
      </c>
      <c r="M1879">
        <f t="shared" si="119"/>
        <v>1</v>
      </c>
    </row>
    <row r="1880" spans="1:13" x14ac:dyDescent="0.2">
      <c r="A1880" s="9">
        <v>44618</v>
      </c>
      <c r="B1880">
        <f t="shared" si="116"/>
        <v>26</v>
      </c>
      <c r="C1880">
        <f t="shared" si="117"/>
        <v>2</v>
      </c>
      <c r="D1880">
        <f t="shared" si="118"/>
        <v>2022</v>
      </c>
      <c r="E1880" s="11">
        <v>3.1309999999999998</v>
      </c>
      <c r="F1880" s="11">
        <v>101.54900000000001</v>
      </c>
      <c r="G1880" s="11">
        <v>27.4</v>
      </c>
      <c r="H1880" s="1" t="s">
        <v>0</v>
      </c>
      <c r="I1880">
        <v>4.8</v>
      </c>
      <c r="J1880" t="s">
        <v>6</v>
      </c>
      <c r="K1880">
        <v>23.3</v>
      </c>
      <c r="L1880">
        <v>26.1</v>
      </c>
      <c r="M1880">
        <f t="shared" si="119"/>
        <v>1</v>
      </c>
    </row>
    <row r="1881" spans="1:13" x14ac:dyDescent="0.2">
      <c r="A1881" s="9">
        <v>44619</v>
      </c>
      <c r="B1881">
        <f t="shared" si="116"/>
        <v>27</v>
      </c>
      <c r="C1881">
        <f t="shared" si="117"/>
        <v>2</v>
      </c>
      <c r="D1881">
        <f t="shared" si="118"/>
        <v>2022</v>
      </c>
      <c r="E1881" s="11">
        <v>3.1309999999999998</v>
      </c>
      <c r="F1881" s="11">
        <v>101.54900000000001</v>
      </c>
      <c r="G1881" s="11">
        <v>27.4</v>
      </c>
      <c r="H1881" s="1" t="s">
        <v>0</v>
      </c>
      <c r="I1881">
        <v>0.8</v>
      </c>
      <c r="J1881" t="s">
        <v>6</v>
      </c>
      <c r="K1881" t="s">
        <v>6</v>
      </c>
      <c r="L1881">
        <v>26.3</v>
      </c>
      <c r="M1881">
        <f t="shared" si="119"/>
        <v>1</v>
      </c>
    </row>
    <row r="1882" spans="1:13" x14ac:dyDescent="0.2">
      <c r="A1882" s="9">
        <v>44620</v>
      </c>
      <c r="B1882">
        <f t="shared" si="116"/>
        <v>28</v>
      </c>
      <c r="C1882">
        <f t="shared" si="117"/>
        <v>2</v>
      </c>
      <c r="D1882">
        <f t="shared" si="118"/>
        <v>2022</v>
      </c>
      <c r="E1882" s="11">
        <v>3.1309999999999998</v>
      </c>
      <c r="F1882" s="11">
        <v>101.54900000000001</v>
      </c>
      <c r="G1882" s="11">
        <v>27.4</v>
      </c>
      <c r="H1882" s="1" t="s">
        <v>0</v>
      </c>
      <c r="I1882">
        <v>2.5</v>
      </c>
      <c r="J1882">
        <v>34.200000000000003</v>
      </c>
      <c r="K1882">
        <v>23.8</v>
      </c>
      <c r="L1882">
        <v>27.9</v>
      </c>
      <c r="M1882">
        <f t="shared" si="119"/>
        <v>1</v>
      </c>
    </row>
    <row r="1883" spans="1:13" x14ac:dyDescent="0.2">
      <c r="A1883" s="9">
        <v>44621</v>
      </c>
      <c r="B1883">
        <f t="shared" si="116"/>
        <v>1</v>
      </c>
      <c r="C1883">
        <f t="shared" si="117"/>
        <v>3</v>
      </c>
      <c r="D1883">
        <f t="shared" si="118"/>
        <v>2022</v>
      </c>
      <c r="E1883" s="11">
        <v>3.1309999999999998</v>
      </c>
      <c r="F1883" s="11">
        <v>101.54900000000001</v>
      </c>
      <c r="G1883" s="11">
        <v>27.4</v>
      </c>
      <c r="H1883" s="1" t="s">
        <v>0</v>
      </c>
      <c r="I1883">
        <v>0.8</v>
      </c>
      <c r="J1883">
        <v>32.5</v>
      </c>
      <c r="K1883" t="s">
        <v>6</v>
      </c>
      <c r="L1883">
        <v>26.9</v>
      </c>
      <c r="M1883">
        <f t="shared" si="119"/>
        <v>1</v>
      </c>
    </row>
    <row r="1884" spans="1:13" x14ac:dyDescent="0.2">
      <c r="A1884" s="9">
        <v>44622</v>
      </c>
      <c r="B1884">
        <f t="shared" si="116"/>
        <v>2</v>
      </c>
      <c r="C1884">
        <f t="shared" si="117"/>
        <v>3</v>
      </c>
      <c r="D1884">
        <f t="shared" si="118"/>
        <v>2022</v>
      </c>
      <c r="E1884" s="11">
        <v>3.1309999999999998</v>
      </c>
      <c r="F1884" s="11">
        <v>101.54900000000001</v>
      </c>
      <c r="G1884" s="11">
        <v>27.4</v>
      </c>
      <c r="H1884" s="1" t="s">
        <v>0</v>
      </c>
      <c r="I1884">
        <v>56.9</v>
      </c>
      <c r="J1884">
        <v>35</v>
      </c>
      <c r="K1884" t="s">
        <v>6</v>
      </c>
      <c r="L1884">
        <v>27.2</v>
      </c>
      <c r="M1884">
        <f t="shared" si="119"/>
        <v>1</v>
      </c>
    </row>
    <row r="1885" spans="1:13" x14ac:dyDescent="0.2">
      <c r="A1885" s="9">
        <v>44623</v>
      </c>
      <c r="B1885">
        <f t="shared" si="116"/>
        <v>3</v>
      </c>
      <c r="C1885">
        <f t="shared" si="117"/>
        <v>3</v>
      </c>
      <c r="D1885">
        <f t="shared" si="118"/>
        <v>2022</v>
      </c>
      <c r="E1885" s="11">
        <v>3.1309999999999998</v>
      </c>
      <c r="F1885" s="11">
        <v>101.54900000000001</v>
      </c>
      <c r="G1885" s="11">
        <v>27.4</v>
      </c>
      <c r="H1885" s="1" t="s">
        <v>0</v>
      </c>
      <c r="I1885">
        <v>42.7</v>
      </c>
      <c r="J1885">
        <v>33.9</v>
      </c>
      <c r="K1885">
        <v>23.9</v>
      </c>
      <c r="L1885">
        <v>27.6</v>
      </c>
      <c r="M1885">
        <f t="shared" si="119"/>
        <v>1</v>
      </c>
    </row>
    <row r="1886" spans="1:13" x14ac:dyDescent="0.2">
      <c r="A1886" s="9">
        <v>44624</v>
      </c>
      <c r="B1886">
        <f t="shared" si="116"/>
        <v>4</v>
      </c>
      <c r="C1886">
        <f t="shared" si="117"/>
        <v>3</v>
      </c>
      <c r="D1886">
        <f t="shared" si="118"/>
        <v>2022</v>
      </c>
      <c r="E1886" s="11">
        <v>3.1309999999999998</v>
      </c>
      <c r="F1886" s="11">
        <v>101.54900000000001</v>
      </c>
      <c r="G1886" s="11">
        <v>27.4</v>
      </c>
      <c r="H1886" s="1" t="s">
        <v>0</v>
      </c>
      <c r="I1886">
        <v>10.9</v>
      </c>
      <c r="J1886" t="s">
        <v>6</v>
      </c>
      <c r="K1886">
        <v>24.1</v>
      </c>
      <c r="L1886">
        <v>26.8</v>
      </c>
      <c r="M1886">
        <f t="shared" si="119"/>
        <v>1</v>
      </c>
    </row>
    <row r="1887" spans="1:13" x14ac:dyDescent="0.2">
      <c r="A1887" s="9">
        <v>44625</v>
      </c>
      <c r="B1887">
        <f t="shared" si="116"/>
        <v>5</v>
      </c>
      <c r="C1887">
        <f t="shared" si="117"/>
        <v>3</v>
      </c>
      <c r="D1887">
        <f t="shared" si="118"/>
        <v>2022</v>
      </c>
      <c r="E1887" s="11">
        <v>3.1309999999999998</v>
      </c>
      <c r="F1887" s="11">
        <v>101.54900000000001</v>
      </c>
      <c r="G1887" s="11">
        <v>27.4</v>
      </c>
      <c r="H1887" s="1" t="s">
        <v>0</v>
      </c>
      <c r="I1887">
        <v>9.9</v>
      </c>
      <c r="J1887">
        <v>31.5</v>
      </c>
      <c r="K1887" t="s">
        <v>6</v>
      </c>
      <c r="L1887">
        <v>25.1</v>
      </c>
      <c r="M1887">
        <f t="shared" si="119"/>
        <v>1</v>
      </c>
    </row>
    <row r="1888" spans="1:13" x14ac:dyDescent="0.2">
      <c r="A1888" s="9">
        <v>44626</v>
      </c>
      <c r="B1888">
        <f t="shared" si="116"/>
        <v>6</v>
      </c>
      <c r="C1888">
        <f t="shared" si="117"/>
        <v>3</v>
      </c>
      <c r="D1888">
        <f t="shared" si="118"/>
        <v>2022</v>
      </c>
      <c r="E1888" s="11">
        <v>3.1309999999999998</v>
      </c>
      <c r="F1888" s="11">
        <v>101.54900000000001</v>
      </c>
      <c r="G1888" s="11">
        <v>27.4</v>
      </c>
      <c r="H1888" s="1" t="s">
        <v>0</v>
      </c>
      <c r="I1888">
        <v>49.8</v>
      </c>
      <c r="J1888">
        <v>31.7</v>
      </c>
      <c r="K1888">
        <v>23.2</v>
      </c>
      <c r="L1888">
        <v>26.4</v>
      </c>
      <c r="M1888">
        <f t="shared" si="119"/>
        <v>1</v>
      </c>
    </row>
    <row r="1889" spans="1:13" x14ac:dyDescent="0.2">
      <c r="A1889" s="9">
        <v>44627</v>
      </c>
      <c r="B1889">
        <f t="shared" si="116"/>
        <v>7</v>
      </c>
      <c r="C1889">
        <f t="shared" si="117"/>
        <v>3</v>
      </c>
      <c r="D1889">
        <f t="shared" si="118"/>
        <v>2022</v>
      </c>
      <c r="E1889" s="11">
        <v>3.1309999999999998</v>
      </c>
      <c r="F1889" s="11">
        <v>101.54900000000001</v>
      </c>
      <c r="G1889" s="11">
        <v>27.4</v>
      </c>
      <c r="H1889" s="1" t="s">
        <v>0</v>
      </c>
      <c r="I1889">
        <v>16</v>
      </c>
      <c r="J1889">
        <v>31.6</v>
      </c>
      <c r="K1889">
        <v>23.8</v>
      </c>
      <c r="L1889">
        <v>26.3</v>
      </c>
      <c r="M1889">
        <f t="shared" si="119"/>
        <v>1</v>
      </c>
    </row>
    <row r="1890" spans="1:13" x14ac:dyDescent="0.2">
      <c r="A1890" s="9">
        <v>44628</v>
      </c>
      <c r="B1890">
        <f t="shared" si="116"/>
        <v>8</v>
      </c>
      <c r="C1890">
        <f t="shared" si="117"/>
        <v>3</v>
      </c>
      <c r="D1890">
        <f t="shared" si="118"/>
        <v>2022</v>
      </c>
      <c r="E1890" s="11">
        <v>3.1309999999999998</v>
      </c>
      <c r="F1890" s="11">
        <v>101.54900000000001</v>
      </c>
      <c r="G1890" s="11">
        <v>27.4</v>
      </c>
      <c r="H1890" s="1" t="s">
        <v>0</v>
      </c>
      <c r="I1890">
        <v>25.9</v>
      </c>
      <c r="J1890">
        <v>32.5</v>
      </c>
      <c r="K1890">
        <v>23.9</v>
      </c>
      <c r="L1890">
        <v>27</v>
      </c>
      <c r="M1890">
        <f t="shared" si="119"/>
        <v>1</v>
      </c>
    </row>
    <row r="1891" spans="1:13" x14ac:dyDescent="0.2">
      <c r="A1891" s="9">
        <v>44629</v>
      </c>
      <c r="B1891">
        <f t="shared" si="116"/>
        <v>9</v>
      </c>
      <c r="C1891">
        <f t="shared" si="117"/>
        <v>3</v>
      </c>
      <c r="D1891">
        <f t="shared" si="118"/>
        <v>2022</v>
      </c>
      <c r="E1891" s="11">
        <v>3.1309999999999998</v>
      </c>
      <c r="F1891" s="11">
        <v>101.54900000000001</v>
      </c>
      <c r="G1891" s="11">
        <v>27.4</v>
      </c>
      <c r="H1891" s="1" t="s">
        <v>0</v>
      </c>
      <c r="I1891">
        <v>0</v>
      </c>
      <c r="J1891" t="s">
        <v>6</v>
      </c>
      <c r="K1891" t="s">
        <v>6</v>
      </c>
      <c r="L1891">
        <v>28</v>
      </c>
      <c r="M1891">
        <f t="shared" si="119"/>
        <v>0</v>
      </c>
    </row>
    <row r="1892" spans="1:13" x14ac:dyDescent="0.2">
      <c r="A1892" s="9">
        <v>44630</v>
      </c>
      <c r="B1892">
        <f t="shared" si="116"/>
        <v>10</v>
      </c>
      <c r="C1892">
        <f t="shared" si="117"/>
        <v>3</v>
      </c>
      <c r="D1892">
        <f t="shared" si="118"/>
        <v>2022</v>
      </c>
      <c r="E1892" s="11">
        <v>3.1309999999999998</v>
      </c>
      <c r="F1892" s="11">
        <v>101.54900000000001</v>
      </c>
      <c r="G1892" s="11">
        <v>27.4</v>
      </c>
      <c r="H1892" s="1" t="s">
        <v>0</v>
      </c>
      <c r="I1892">
        <v>13.2</v>
      </c>
      <c r="J1892">
        <v>33.9</v>
      </c>
      <c r="K1892">
        <v>23.9</v>
      </c>
      <c r="L1892">
        <v>28.8</v>
      </c>
      <c r="M1892">
        <f t="shared" si="119"/>
        <v>1</v>
      </c>
    </row>
    <row r="1893" spans="1:13" x14ac:dyDescent="0.2">
      <c r="A1893" s="9">
        <v>44631</v>
      </c>
      <c r="B1893">
        <f t="shared" si="116"/>
        <v>11</v>
      </c>
      <c r="C1893">
        <f t="shared" si="117"/>
        <v>3</v>
      </c>
      <c r="D1893">
        <f t="shared" si="118"/>
        <v>2022</v>
      </c>
      <c r="E1893" s="11">
        <v>3.1309999999999998</v>
      </c>
      <c r="F1893" s="11">
        <v>101.54900000000001</v>
      </c>
      <c r="G1893" s="11">
        <v>27.4</v>
      </c>
      <c r="H1893" s="1" t="s">
        <v>0</v>
      </c>
      <c r="I1893">
        <v>0</v>
      </c>
      <c r="J1893" t="s">
        <v>6</v>
      </c>
      <c r="K1893">
        <v>24.2</v>
      </c>
      <c r="L1893">
        <v>28.6</v>
      </c>
      <c r="M1893">
        <f t="shared" si="119"/>
        <v>0</v>
      </c>
    </row>
    <row r="1894" spans="1:13" x14ac:dyDescent="0.2">
      <c r="A1894" s="9">
        <v>44632</v>
      </c>
      <c r="B1894">
        <f t="shared" si="116"/>
        <v>12</v>
      </c>
      <c r="C1894">
        <f t="shared" si="117"/>
        <v>3</v>
      </c>
      <c r="D1894">
        <f t="shared" si="118"/>
        <v>2022</v>
      </c>
      <c r="E1894" s="11">
        <v>3.1309999999999998</v>
      </c>
      <c r="F1894" s="11">
        <v>101.54900000000001</v>
      </c>
      <c r="G1894" s="11">
        <v>27.4</v>
      </c>
      <c r="H1894" s="1" t="s">
        <v>0</v>
      </c>
      <c r="I1894">
        <v>0.3</v>
      </c>
      <c r="J1894">
        <v>34.200000000000003</v>
      </c>
      <c r="K1894">
        <v>25.8</v>
      </c>
      <c r="L1894">
        <v>28.3</v>
      </c>
      <c r="M1894">
        <f t="shared" si="119"/>
        <v>1</v>
      </c>
    </row>
    <row r="1895" spans="1:13" x14ac:dyDescent="0.2">
      <c r="A1895" s="9">
        <v>44633</v>
      </c>
      <c r="B1895">
        <f t="shared" si="116"/>
        <v>13</v>
      </c>
      <c r="C1895">
        <f t="shared" si="117"/>
        <v>3</v>
      </c>
      <c r="D1895">
        <f t="shared" si="118"/>
        <v>2022</v>
      </c>
      <c r="E1895" s="11">
        <v>3.1309999999999998</v>
      </c>
      <c r="F1895" s="11">
        <v>101.54900000000001</v>
      </c>
      <c r="G1895" s="11">
        <v>27.4</v>
      </c>
      <c r="H1895" s="1" t="s">
        <v>0</v>
      </c>
      <c r="I1895">
        <v>6.6</v>
      </c>
      <c r="J1895">
        <v>34.700000000000003</v>
      </c>
      <c r="K1895">
        <v>25.8</v>
      </c>
      <c r="L1895">
        <v>28.9</v>
      </c>
      <c r="M1895">
        <f t="shared" si="119"/>
        <v>1</v>
      </c>
    </row>
    <row r="1896" spans="1:13" x14ac:dyDescent="0.2">
      <c r="A1896" s="9">
        <v>44634</v>
      </c>
      <c r="B1896">
        <f t="shared" si="116"/>
        <v>14</v>
      </c>
      <c r="C1896">
        <f t="shared" si="117"/>
        <v>3</v>
      </c>
      <c r="D1896">
        <f t="shared" si="118"/>
        <v>2022</v>
      </c>
      <c r="E1896" s="11">
        <v>3.1309999999999998</v>
      </c>
      <c r="F1896" s="11">
        <v>101.54900000000001</v>
      </c>
      <c r="G1896" s="11">
        <v>27.4</v>
      </c>
      <c r="H1896" s="1" t="s">
        <v>0</v>
      </c>
      <c r="I1896">
        <v>17.3</v>
      </c>
      <c r="J1896">
        <v>33.4</v>
      </c>
      <c r="K1896" t="s">
        <v>6</v>
      </c>
      <c r="L1896">
        <v>28.2</v>
      </c>
      <c r="M1896">
        <f t="shared" si="119"/>
        <v>1</v>
      </c>
    </row>
    <row r="1897" spans="1:13" x14ac:dyDescent="0.2">
      <c r="A1897" s="9">
        <v>44635</v>
      </c>
      <c r="B1897">
        <f t="shared" si="116"/>
        <v>15</v>
      </c>
      <c r="C1897">
        <f t="shared" si="117"/>
        <v>3</v>
      </c>
      <c r="D1897">
        <f t="shared" si="118"/>
        <v>2022</v>
      </c>
      <c r="E1897" s="11">
        <v>3.1309999999999998</v>
      </c>
      <c r="F1897" s="11">
        <v>101.54900000000001</v>
      </c>
      <c r="G1897" s="11">
        <v>27.4</v>
      </c>
      <c r="H1897" s="1" t="s">
        <v>0</v>
      </c>
      <c r="I1897">
        <v>6.1</v>
      </c>
      <c r="J1897" t="s">
        <v>6</v>
      </c>
      <c r="K1897" t="s">
        <v>6</v>
      </c>
      <c r="L1897">
        <v>28.3</v>
      </c>
      <c r="M1897">
        <f t="shared" si="119"/>
        <v>1</v>
      </c>
    </row>
    <row r="1898" spans="1:13" x14ac:dyDescent="0.2">
      <c r="A1898" s="9">
        <v>44636</v>
      </c>
      <c r="B1898">
        <f t="shared" si="116"/>
        <v>16</v>
      </c>
      <c r="C1898">
        <f t="shared" si="117"/>
        <v>3</v>
      </c>
      <c r="D1898">
        <f t="shared" si="118"/>
        <v>2022</v>
      </c>
      <c r="E1898" s="11">
        <v>3.1309999999999998</v>
      </c>
      <c r="F1898" s="11">
        <v>101.54900000000001</v>
      </c>
      <c r="G1898" s="11">
        <v>27.4</v>
      </c>
      <c r="H1898" s="1" t="s">
        <v>0</v>
      </c>
      <c r="I1898">
        <v>1</v>
      </c>
      <c r="J1898" t="s">
        <v>6</v>
      </c>
      <c r="K1898" t="s">
        <v>6</v>
      </c>
      <c r="L1898">
        <v>27.7</v>
      </c>
      <c r="M1898">
        <f t="shared" si="119"/>
        <v>1</v>
      </c>
    </row>
    <row r="1899" spans="1:13" x14ac:dyDescent="0.2">
      <c r="A1899" s="9">
        <v>44637</v>
      </c>
      <c r="B1899">
        <f t="shared" si="116"/>
        <v>17</v>
      </c>
      <c r="C1899">
        <f t="shared" si="117"/>
        <v>3</v>
      </c>
      <c r="D1899">
        <f t="shared" si="118"/>
        <v>2022</v>
      </c>
      <c r="E1899" s="11">
        <v>3.1309999999999998</v>
      </c>
      <c r="F1899" s="11">
        <v>101.54900000000001</v>
      </c>
      <c r="G1899" s="11">
        <v>27.4</v>
      </c>
      <c r="H1899" s="1" t="s">
        <v>0</v>
      </c>
      <c r="I1899">
        <v>49</v>
      </c>
      <c r="J1899" t="s">
        <v>6</v>
      </c>
      <c r="K1899">
        <v>23.6</v>
      </c>
      <c r="L1899">
        <v>27.1</v>
      </c>
      <c r="M1899">
        <f t="shared" si="119"/>
        <v>1</v>
      </c>
    </row>
    <row r="1900" spans="1:13" x14ac:dyDescent="0.2">
      <c r="A1900" s="9">
        <v>44638</v>
      </c>
      <c r="B1900">
        <f t="shared" si="116"/>
        <v>18</v>
      </c>
      <c r="C1900">
        <f t="shared" si="117"/>
        <v>3</v>
      </c>
      <c r="D1900">
        <f t="shared" si="118"/>
        <v>2022</v>
      </c>
      <c r="E1900" s="11">
        <v>3.1309999999999998</v>
      </c>
      <c r="F1900" s="11">
        <v>101.54900000000001</v>
      </c>
      <c r="G1900" s="11">
        <v>27.4</v>
      </c>
      <c r="H1900" s="1" t="s">
        <v>0</v>
      </c>
      <c r="I1900">
        <v>35.1</v>
      </c>
      <c r="J1900" t="s">
        <v>6</v>
      </c>
      <c r="K1900">
        <v>23.8</v>
      </c>
      <c r="L1900">
        <v>29.1</v>
      </c>
      <c r="M1900">
        <f t="shared" si="119"/>
        <v>1</v>
      </c>
    </row>
    <row r="1901" spans="1:13" x14ac:dyDescent="0.2">
      <c r="A1901" s="9">
        <v>44639</v>
      </c>
      <c r="B1901">
        <f t="shared" si="116"/>
        <v>19</v>
      </c>
      <c r="C1901">
        <f t="shared" si="117"/>
        <v>3</v>
      </c>
      <c r="D1901">
        <f t="shared" si="118"/>
        <v>2022</v>
      </c>
      <c r="E1901" s="11">
        <v>3.1309999999999998</v>
      </c>
      <c r="F1901" s="11">
        <v>101.54900000000001</v>
      </c>
      <c r="G1901" s="11">
        <v>27.4</v>
      </c>
      <c r="H1901" s="1" t="s">
        <v>0</v>
      </c>
      <c r="I1901">
        <v>0</v>
      </c>
      <c r="J1901" t="s">
        <v>6</v>
      </c>
      <c r="K1901">
        <v>24.3</v>
      </c>
      <c r="L1901">
        <v>30.9</v>
      </c>
      <c r="M1901">
        <f t="shared" si="119"/>
        <v>0</v>
      </c>
    </row>
    <row r="1902" spans="1:13" x14ac:dyDescent="0.2">
      <c r="A1902" s="9">
        <v>44640</v>
      </c>
      <c r="B1902">
        <f t="shared" si="116"/>
        <v>20</v>
      </c>
      <c r="C1902">
        <f t="shared" si="117"/>
        <v>3</v>
      </c>
      <c r="D1902">
        <f t="shared" si="118"/>
        <v>2022</v>
      </c>
      <c r="E1902" s="11">
        <v>3.1309999999999998</v>
      </c>
      <c r="F1902" s="11">
        <v>101.54900000000001</v>
      </c>
      <c r="G1902" s="11">
        <v>27.4</v>
      </c>
      <c r="H1902" s="1" t="s">
        <v>0</v>
      </c>
      <c r="I1902" t="s">
        <v>6</v>
      </c>
      <c r="J1902" t="s">
        <v>6</v>
      </c>
      <c r="K1902" t="s">
        <v>6</v>
      </c>
      <c r="L1902">
        <v>30.1</v>
      </c>
      <c r="M1902" t="str">
        <f t="shared" si="119"/>
        <v/>
      </c>
    </row>
    <row r="1903" spans="1:13" x14ac:dyDescent="0.2">
      <c r="A1903" s="9">
        <v>44641</v>
      </c>
      <c r="B1903">
        <f t="shared" si="116"/>
        <v>21</v>
      </c>
      <c r="C1903">
        <f t="shared" si="117"/>
        <v>3</v>
      </c>
      <c r="D1903">
        <f t="shared" si="118"/>
        <v>2022</v>
      </c>
      <c r="E1903" s="11">
        <v>3.1309999999999998</v>
      </c>
      <c r="F1903" s="11">
        <v>101.54900000000001</v>
      </c>
      <c r="G1903" s="11">
        <v>27.4</v>
      </c>
      <c r="H1903" s="1" t="s">
        <v>0</v>
      </c>
      <c r="I1903" t="s">
        <v>6</v>
      </c>
      <c r="J1903" t="s">
        <v>6</v>
      </c>
      <c r="K1903" t="s">
        <v>6</v>
      </c>
      <c r="L1903">
        <v>30.1</v>
      </c>
      <c r="M1903" t="str">
        <f t="shared" si="119"/>
        <v/>
      </c>
    </row>
    <row r="1904" spans="1:13" x14ac:dyDescent="0.2">
      <c r="A1904" s="9">
        <v>44642</v>
      </c>
      <c r="B1904">
        <f t="shared" si="116"/>
        <v>22</v>
      </c>
      <c r="C1904">
        <f t="shared" si="117"/>
        <v>3</v>
      </c>
      <c r="D1904">
        <f t="shared" si="118"/>
        <v>2022</v>
      </c>
      <c r="E1904" s="11">
        <v>3.1309999999999998</v>
      </c>
      <c r="F1904" s="11">
        <v>101.54900000000001</v>
      </c>
      <c r="G1904" s="11">
        <v>27.4</v>
      </c>
      <c r="H1904" s="1" t="s">
        <v>0</v>
      </c>
      <c r="I1904">
        <v>20.100000000000001</v>
      </c>
      <c r="J1904" t="s">
        <v>6</v>
      </c>
      <c r="K1904">
        <v>24.9</v>
      </c>
      <c r="L1904">
        <v>28.8</v>
      </c>
      <c r="M1904">
        <f t="shared" si="119"/>
        <v>1</v>
      </c>
    </row>
    <row r="1905" spans="1:13" x14ac:dyDescent="0.2">
      <c r="A1905" s="9">
        <v>44643</v>
      </c>
      <c r="B1905">
        <f t="shared" si="116"/>
        <v>23</v>
      </c>
      <c r="C1905">
        <f t="shared" si="117"/>
        <v>3</v>
      </c>
      <c r="D1905">
        <f t="shared" si="118"/>
        <v>2022</v>
      </c>
      <c r="E1905" s="11">
        <v>3.1309999999999998</v>
      </c>
      <c r="F1905" s="11">
        <v>101.54900000000001</v>
      </c>
      <c r="G1905" s="11">
        <v>27.4</v>
      </c>
      <c r="H1905" s="1" t="s">
        <v>0</v>
      </c>
      <c r="I1905">
        <v>0</v>
      </c>
      <c r="J1905" t="s">
        <v>6</v>
      </c>
      <c r="K1905">
        <v>25</v>
      </c>
      <c r="L1905">
        <v>30.1</v>
      </c>
      <c r="M1905">
        <f t="shared" si="119"/>
        <v>0</v>
      </c>
    </row>
    <row r="1906" spans="1:13" x14ac:dyDescent="0.2">
      <c r="A1906" s="9">
        <v>44644</v>
      </c>
      <c r="B1906">
        <f t="shared" si="116"/>
        <v>24</v>
      </c>
      <c r="C1906">
        <f t="shared" si="117"/>
        <v>3</v>
      </c>
      <c r="D1906">
        <f t="shared" si="118"/>
        <v>2022</v>
      </c>
      <c r="E1906" s="11">
        <v>3.1309999999999998</v>
      </c>
      <c r="F1906" s="11">
        <v>101.54900000000001</v>
      </c>
      <c r="G1906" s="11">
        <v>27.4</v>
      </c>
      <c r="H1906" s="1" t="s">
        <v>0</v>
      </c>
      <c r="I1906" t="s">
        <v>6</v>
      </c>
      <c r="J1906">
        <v>34.299999999999997</v>
      </c>
      <c r="K1906" t="s">
        <v>6</v>
      </c>
      <c r="L1906">
        <v>28.9</v>
      </c>
      <c r="M1906" t="str">
        <f t="shared" si="119"/>
        <v/>
      </c>
    </row>
    <row r="1907" spans="1:13" x14ac:dyDescent="0.2">
      <c r="A1907" s="9">
        <v>44645</v>
      </c>
      <c r="B1907">
        <f t="shared" si="116"/>
        <v>25</v>
      </c>
      <c r="C1907">
        <f t="shared" si="117"/>
        <v>3</v>
      </c>
      <c r="D1907">
        <f t="shared" si="118"/>
        <v>2022</v>
      </c>
      <c r="E1907" s="11">
        <v>3.1309999999999998</v>
      </c>
      <c r="F1907" s="11">
        <v>101.54900000000001</v>
      </c>
      <c r="G1907" s="11">
        <v>27.4</v>
      </c>
      <c r="H1907" s="1" t="s">
        <v>0</v>
      </c>
      <c r="I1907" t="s">
        <v>6</v>
      </c>
      <c r="J1907">
        <v>34.700000000000003</v>
      </c>
      <c r="K1907">
        <v>25.5</v>
      </c>
      <c r="L1907">
        <v>28.7</v>
      </c>
      <c r="M1907" t="str">
        <f t="shared" si="119"/>
        <v/>
      </c>
    </row>
    <row r="1908" spans="1:13" x14ac:dyDescent="0.2">
      <c r="A1908" s="9">
        <v>44646</v>
      </c>
      <c r="B1908">
        <f t="shared" si="116"/>
        <v>26</v>
      </c>
      <c r="C1908">
        <f t="shared" si="117"/>
        <v>3</v>
      </c>
      <c r="D1908">
        <f t="shared" si="118"/>
        <v>2022</v>
      </c>
      <c r="E1908" s="11">
        <v>3.1309999999999998</v>
      </c>
      <c r="F1908" s="11">
        <v>101.54900000000001</v>
      </c>
      <c r="G1908" s="11">
        <v>27.4</v>
      </c>
      <c r="H1908" s="1" t="s">
        <v>0</v>
      </c>
      <c r="I1908" t="s">
        <v>6</v>
      </c>
      <c r="J1908" t="s">
        <v>6</v>
      </c>
      <c r="K1908" t="s">
        <v>6</v>
      </c>
      <c r="L1908">
        <v>28.6</v>
      </c>
      <c r="M1908" t="str">
        <f t="shared" si="119"/>
        <v/>
      </c>
    </row>
    <row r="1909" spans="1:13" x14ac:dyDescent="0.2">
      <c r="A1909" s="9">
        <v>44647</v>
      </c>
      <c r="B1909">
        <f t="shared" si="116"/>
        <v>27</v>
      </c>
      <c r="C1909">
        <f t="shared" si="117"/>
        <v>3</v>
      </c>
      <c r="D1909">
        <f t="shared" si="118"/>
        <v>2022</v>
      </c>
      <c r="E1909" s="11">
        <v>3.1309999999999998</v>
      </c>
      <c r="F1909" s="11">
        <v>101.54900000000001</v>
      </c>
      <c r="G1909" s="11">
        <v>27.4</v>
      </c>
      <c r="H1909" s="1" t="s">
        <v>0</v>
      </c>
      <c r="I1909" t="s">
        <v>6</v>
      </c>
      <c r="J1909" t="s">
        <v>6</v>
      </c>
      <c r="K1909">
        <v>25.3</v>
      </c>
      <c r="L1909">
        <v>29.6</v>
      </c>
      <c r="M1909" t="str">
        <f t="shared" si="119"/>
        <v/>
      </c>
    </row>
    <row r="1910" spans="1:13" x14ac:dyDescent="0.2">
      <c r="A1910" s="9">
        <v>44648</v>
      </c>
      <c r="B1910">
        <f t="shared" si="116"/>
        <v>28</v>
      </c>
      <c r="C1910">
        <f t="shared" si="117"/>
        <v>3</v>
      </c>
      <c r="D1910">
        <f t="shared" si="118"/>
        <v>2022</v>
      </c>
      <c r="E1910" s="11">
        <v>3.1309999999999998</v>
      </c>
      <c r="F1910" s="11">
        <v>101.54900000000001</v>
      </c>
      <c r="G1910" s="11">
        <v>27.4</v>
      </c>
      <c r="H1910" s="1" t="s">
        <v>0</v>
      </c>
      <c r="I1910" t="s">
        <v>6</v>
      </c>
      <c r="J1910" t="s">
        <v>6</v>
      </c>
      <c r="K1910">
        <v>25.8</v>
      </c>
      <c r="L1910">
        <v>30.1</v>
      </c>
      <c r="M1910" t="str">
        <f t="shared" si="119"/>
        <v/>
      </c>
    </row>
    <row r="1911" spans="1:13" x14ac:dyDescent="0.2">
      <c r="A1911" s="9">
        <v>44649</v>
      </c>
      <c r="B1911">
        <f t="shared" si="116"/>
        <v>29</v>
      </c>
      <c r="C1911">
        <f t="shared" si="117"/>
        <v>3</v>
      </c>
      <c r="D1911">
        <f t="shared" si="118"/>
        <v>2022</v>
      </c>
      <c r="E1911" s="11">
        <v>3.1309999999999998</v>
      </c>
      <c r="F1911" s="11">
        <v>101.54900000000001</v>
      </c>
      <c r="G1911" s="11">
        <v>27.4</v>
      </c>
      <c r="H1911" s="1" t="s">
        <v>0</v>
      </c>
      <c r="I1911">
        <v>0</v>
      </c>
      <c r="J1911" t="s">
        <v>6</v>
      </c>
      <c r="K1911" t="s">
        <v>6</v>
      </c>
      <c r="L1911">
        <v>27.8</v>
      </c>
      <c r="M1911">
        <f t="shared" si="119"/>
        <v>0</v>
      </c>
    </row>
    <row r="1912" spans="1:13" x14ac:dyDescent="0.2">
      <c r="A1912" s="9">
        <v>44650</v>
      </c>
      <c r="B1912">
        <f t="shared" si="116"/>
        <v>30</v>
      </c>
      <c r="C1912">
        <f t="shared" si="117"/>
        <v>3</v>
      </c>
      <c r="D1912">
        <f t="shared" si="118"/>
        <v>2022</v>
      </c>
      <c r="E1912" s="11">
        <v>3.1309999999999998</v>
      </c>
      <c r="F1912" s="11">
        <v>101.54900000000001</v>
      </c>
      <c r="G1912" s="11">
        <v>27.4</v>
      </c>
      <c r="H1912" s="1" t="s">
        <v>0</v>
      </c>
      <c r="I1912">
        <v>4.0999999999999996</v>
      </c>
      <c r="J1912" t="s">
        <v>6</v>
      </c>
      <c r="K1912" t="s">
        <v>6</v>
      </c>
      <c r="L1912">
        <v>28.8</v>
      </c>
      <c r="M1912">
        <f t="shared" si="119"/>
        <v>1</v>
      </c>
    </row>
    <row r="1913" spans="1:13" x14ac:dyDescent="0.2">
      <c r="A1913" s="9">
        <v>44651</v>
      </c>
      <c r="B1913">
        <f t="shared" si="116"/>
        <v>31</v>
      </c>
      <c r="C1913">
        <f t="shared" si="117"/>
        <v>3</v>
      </c>
      <c r="D1913">
        <f t="shared" si="118"/>
        <v>2022</v>
      </c>
      <c r="E1913" s="11">
        <v>3.1309999999999998</v>
      </c>
      <c r="F1913" s="11">
        <v>101.54900000000001</v>
      </c>
      <c r="G1913" s="11">
        <v>27.4</v>
      </c>
      <c r="H1913" s="1" t="s">
        <v>0</v>
      </c>
      <c r="I1913">
        <v>11.9</v>
      </c>
      <c r="J1913">
        <v>32.299999999999997</v>
      </c>
      <c r="K1913">
        <v>23.7</v>
      </c>
      <c r="L1913">
        <v>28.3</v>
      </c>
      <c r="M1913">
        <f t="shared" si="119"/>
        <v>1</v>
      </c>
    </row>
    <row r="1914" spans="1:13" x14ac:dyDescent="0.2">
      <c r="A1914" s="9">
        <v>44652</v>
      </c>
      <c r="B1914">
        <f t="shared" si="116"/>
        <v>1</v>
      </c>
      <c r="C1914">
        <f t="shared" si="117"/>
        <v>4</v>
      </c>
      <c r="D1914">
        <f t="shared" si="118"/>
        <v>2022</v>
      </c>
      <c r="E1914" s="11">
        <v>3.1309999999999998</v>
      </c>
      <c r="F1914" s="11">
        <v>101.54900000000001</v>
      </c>
      <c r="G1914" s="11">
        <v>27.4</v>
      </c>
      <c r="H1914" s="1" t="s">
        <v>0</v>
      </c>
      <c r="I1914">
        <v>1</v>
      </c>
      <c r="J1914">
        <v>35.1</v>
      </c>
      <c r="K1914">
        <v>23.8</v>
      </c>
      <c r="L1914">
        <v>29.4</v>
      </c>
      <c r="M1914">
        <f t="shared" si="119"/>
        <v>1</v>
      </c>
    </row>
    <row r="1915" spans="1:13" x14ac:dyDescent="0.2">
      <c r="A1915" s="9">
        <v>44653</v>
      </c>
      <c r="B1915">
        <f t="shared" si="116"/>
        <v>2</v>
      </c>
      <c r="C1915">
        <f t="shared" si="117"/>
        <v>4</v>
      </c>
      <c r="D1915">
        <f t="shared" si="118"/>
        <v>2022</v>
      </c>
      <c r="E1915" s="11">
        <v>3.1309999999999998</v>
      </c>
      <c r="F1915" s="11">
        <v>101.54900000000001</v>
      </c>
      <c r="G1915" s="11">
        <v>27.4</v>
      </c>
      <c r="H1915" s="1" t="s">
        <v>0</v>
      </c>
      <c r="I1915">
        <v>0</v>
      </c>
      <c r="J1915" t="s">
        <v>6</v>
      </c>
      <c r="K1915" t="s">
        <v>6</v>
      </c>
      <c r="L1915">
        <v>28.7</v>
      </c>
      <c r="M1915">
        <f t="shared" si="119"/>
        <v>0</v>
      </c>
    </row>
    <row r="1916" spans="1:13" x14ac:dyDescent="0.2">
      <c r="A1916" s="9">
        <v>44654</v>
      </c>
      <c r="B1916">
        <f t="shared" si="116"/>
        <v>3</v>
      </c>
      <c r="C1916">
        <f t="shared" si="117"/>
        <v>4</v>
      </c>
      <c r="D1916">
        <f t="shared" si="118"/>
        <v>2022</v>
      </c>
      <c r="E1916" s="11">
        <v>3.1309999999999998</v>
      </c>
      <c r="F1916" s="11">
        <v>101.54900000000001</v>
      </c>
      <c r="G1916" s="11">
        <v>27.4</v>
      </c>
      <c r="H1916" s="1" t="s">
        <v>0</v>
      </c>
      <c r="I1916" t="s">
        <v>6</v>
      </c>
      <c r="J1916" t="s">
        <v>6</v>
      </c>
      <c r="K1916" t="s">
        <v>6</v>
      </c>
      <c r="L1916">
        <v>27.8</v>
      </c>
      <c r="M1916" t="str">
        <f t="shared" si="119"/>
        <v/>
      </c>
    </row>
    <row r="1917" spans="1:13" x14ac:dyDescent="0.2">
      <c r="A1917" s="9">
        <v>44655</v>
      </c>
      <c r="B1917">
        <f t="shared" si="116"/>
        <v>4</v>
      </c>
      <c r="C1917">
        <f t="shared" si="117"/>
        <v>4</v>
      </c>
      <c r="D1917">
        <f t="shared" si="118"/>
        <v>2022</v>
      </c>
      <c r="E1917" s="11">
        <v>3.1309999999999998</v>
      </c>
      <c r="F1917" s="11">
        <v>101.54900000000001</v>
      </c>
      <c r="G1917" s="11">
        <v>27.4</v>
      </c>
      <c r="H1917" s="1" t="s">
        <v>0</v>
      </c>
      <c r="I1917">
        <v>0</v>
      </c>
      <c r="J1917" t="s">
        <v>6</v>
      </c>
      <c r="K1917" t="s">
        <v>6</v>
      </c>
      <c r="L1917">
        <v>27.7</v>
      </c>
      <c r="M1917">
        <f t="shared" si="119"/>
        <v>0</v>
      </c>
    </row>
    <row r="1918" spans="1:13" x14ac:dyDescent="0.2">
      <c r="A1918" s="9">
        <v>44656</v>
      </c>
      <c r="B1918">
        <f t="shared" si="116"/>
        <v>5</v>
      </c>
      <c r="C1918">
        <f t="shared" si="117"/>
        <v>4</v>
      </c>
      <c r="D1918">
        <f t="shared" si="118"/>
        <v>2022</v>
      </c>
      <c r="E1918" s="11">
        <v>3.1309999999999998</v>
      </c>
      <c r="F1918" s="11">
        <v>101.54900000000001</v>
      </c>
      <c r="G1918" s="11">
        <v>27.4</v>
      </c>
      <c r="H1918" s="1" t="s">
        <v>0</v>
      </c>
      <c r="I1918">
        <v>11.2</v>
      </c>
      <c r="J1918">
        <v>32.200000000000003</v>
      </c>
      <c r="K1918">
        <v>25</v>
      </c>
      <c r="L1918">
        <v>27.2</v>
      </c>
      <c r="M1918">
        <f t="shared" si="119"/>
        <v>1</v>
      </c>
    </row>
    <row r="1919" spans="1:13" x14ac:dyDescent="0.2">
      <c r="A1919" s="9">
        <v>44657</v>
      </c>
      <c r="B1919">
        <f t="shared" si="116"/>
        <v>6</v>
      </c>
      <c r="C1919">
        <f t="shared" si="117"/>
        <v>4</v>
      </c>
      <c r="D1919">
        <f t="shared" si="118"/>
        <v>2022</v>
      </c>
      <c r="E1919" s="11">
        <v>3.1309999999999998</v>
      </c>
      <c r="F1919" s="11">
        <v>101.54900000000001</v>
      </c>
      <c r="G1919" s="11">
        <v>27.4</v>
      </c>
      <c r="H1919" s="1" t="s">
        <v>0</v>
      </c>
      <c r="I1919">
        <v>1</v>
      </c>
      <c r="J1919" t="s">
        <v>6</v>
      </c>
      <c r="K1919">
        <v>24.6</v>
      </c>
      <c r="L1919">
        <v>28.4</v>
      </c>
      <c r="M1919">
        <f t="shared" si="119"/>
        <v>1</v>
      </c>
    </row>
    <row r="1920" spans="1:13" x14ac:dyDescent="0.2">
      <c r="A1920" s="9">
        <v>44658</v>
      </c>
      <c r="B1920">
        <f t="shared" si="116"/>
        <v>7</v>
      </c>
      <c r="C1920">
        <f t="shared" si="117"/>
        <v>4</v>
      </c>
      <c r="D1920">
        <f t="shared" si="118"/>
        <v>2022</v>
      </c>
      <c r="E1920" s="11">
        <v>3.1309999999999998</v>
      </c>
      <c r="F1920" s="11">
        <v>101.54900000000001</v>
      </c>
      <c r="G1920" s="11">
        <v>27.4</v>
      </c>
      <c r="H1920" s="1" t="s">
        <v>0</v>
      </c>
      <c r="I1920">
        <v>0</v>
      </c>
      <c r="J1920" t="s">
        <v>6</v>
      </c>
      <c r="K1920">
        <v>24.6</v>
      </c>
      <c r="L1920">
        <v>27.3</v>
      </c>
      <c r="M1920">
        <f t="shared" si="119"/>
        <v>0</v>
      </c>
    </row>
    <row r="1921" spans="1:13" x14ac:dyDescent="0.2">
      <c r="A1921" s="9">
        <v>44659</v>
      </c>
      <c r="B1921">
        <f t="shared" si="116"/>
        <v>8</v>
      </c>
      <c r="C1921">
        <f t="shared" si="117"/>
        <v>4</v>
      </c>
      <c r="D1921">
        <f t="shared" si="118"/>
        <v>2022</v>
      </c>
      <c r="E1921" s="11">
        <v>3.1309999999999998</v>
      </c>
      <c r="F1921" s="11">
        <v>101.54900000000001</v>
      </c>
      <c r="G1921" s="11">
        <v>27.4</v>
      </c>
      <c r="H1921" s="1" t="s">
        <v>0</v>
      </c>
      <c r="I1921" t="s">
        <v>6</v>
      </c>
      <c r="J1921" t="s">
        <v>6</v>
      </c>
      <c r="K1921">
        <v>24.7</v>
      </c>
      <c r="L1921">
        <v>29.2</v>
      </c>
      <c r="M1921" t="str">
        <f t="shared" si="119"/>
        <v/>
      </c>
    </row>
    <row r="1922" spans="1:13" x14ac:dyDescent="0.2">
      <c r="A1922" s="9">
        <v>44660</v>
      </c>
      <c r="B1922">
        <f t="shared" si="116"/>
        <v>9</v>
      </c>
      <c r="C1922">
        <f t="shared" si="117"/>
        <v>4</v>
      </c>
      <c r="D1922">
        <f t="shared" si="118"/>
        <v>2022</v>
      </c>
      <c r="E1922" s="11">
        <v>3.1309999999999998</v>
      </c>
      <c r="F1922" s="11">
        <v>101.54900000000001</v>
      </c>
      <c r="G1922" s="11">
        <v>27.4</v>
      </c>
      <c r="H1922" s="1" t="s">
        <v>0</v>
      </c>
      <c r="I1922">
        <v>0.5</v>
      </c>
      <c r="J1922" t="s">
        <v>6</v>
      </c>
      <c r="K1922">
        <v>24.7</v>
      </c>
      <c r="L1922">
        <v>28.3</v>
      </c>
      <c r="M1922">
        <f t="shared" si="119"/>
        <v>1</v>
      </c>
    </row>
    <row r="1923" spans="1:13" x14ac:dyDescent="0.2">
      <c r="A1923" s="9">
        <v>44661</v>
      </c>
      <c r="B1923">
        <f t="shared" ref="B1923:B1986" si="120">DAY(A1923)</f>
        <v>10</v>
      </c>
      <c r="C1923">
        <f t="shared" ref="C1923:C1986" si="121">MONTH(A1923)</f>
        <v>4</v>
      </c>
      <c r="D1923">
        <f t="shared" ref="D1923:D1986" si="122">YEAR(A1923)</f>
        <v>2022</v>
      </c>
      <c r="E1923" s="11">
        <v>3.1309999999999998</v>
      </c>
      <c r="F1923" s="11">
        <v>101.54900000000001</v>
      </c>
      <c r="G1923" s="11">
        <v>27.4</v>
      </c>
      <c r="H1923" s="1" t="s">
        <v>0</v>
      </c>
      <c r="I1923">
        <v>0</v>
      </c>
      <c r="J1923" t="s">
        <v>6</v>
      </c>
      <c r="K1923" t="s">
        <v>6</v>
      </c>
      <c r="L1923">
        <v>29.1</v>
      </c>
      <c r="M1923">
        <f t="shared" ref="M1923:M1986" si="123">IF(ISNUMBER(I1923), IF(I1923&gt;0, 1, 0), "")</f>
        <v>0</v>
      </c>
    </row>
    <row r="1924" spans="1:13" x14ac:dyDescent="0.2">
      <c r="A1924" s="9">
        <v>44662</v>
      </c>
      <c r="B1924">
        <f t="shared" si="120"/>
        <v>11</v>
      </c>
      <c r="C1924">
        <f t="shared" si="121"/>
        <v>4</v>
      </c>
      <c r="D1924">
        <f t="shared" si="122"/>
        <v>2022</v>
      </c>
      <c r="E1924" s="11">
        <v>3.1309999999999998</v>
      </c>
      <c r="F1924" s="11">
        <v>101.54900000000001</v>
      </c>
      <c r="G1924" s="11">
        <v>27.4</v>
      </c>
      <c r="H1924" s="1" t="s">
        <v>0</v>
      </c>
      <c r="I1924" t="s">
        <v>6</v>
      </c>
      <c r="J1924" t="s">
        <v>6</v>
      </c>
      <c r="K1924" t="s">
        <v>6</v>
      </c>
      <c r="L1924">
        <v>26.4</v>
      </c>
      <c r="M1924" t="str">
        <f t="shared" si="123"/>
        <v/>
      </c>
    </row>
    <row r="1925" spans="1:13" x14ac:dyDescent="0.2">
      <c r="A1925" s="9">
        <v>44663</v>
      </c>
      <c r="B1925">
        <f t="shared" si="120"/>
        <v>12</v>
      </c>
      <c r="C1925">
        <f t="shared" si="121"/>
        <v>4</v>
      </c>
      <c r="D1925">
        <f t="shared" si="122"/>
        <v>2022</v>
      </c>
      <c r="E1925" s="11">
        <v>3.1309999999999998</v>
      </c>
      <c r="F1925" s="11">
        <v>101.54900000000001</v>
      </c>
      <c r="G1925" s="11">
        <v>27.4</v>
      </c>
      <c r="H1925" s="1" t="s">
        <v>0</v>
      </c>
      <c r="I1925">
        <v>35.6</v>
      </c>
      <c r="J1925" t="s">
        <v>6</v>
      </c>
      <c r="K1925">
        <v>24.1</v>
      </c>
      <c r="L1925">
        <v>29.1</v>
      </c>
      <c r="M1925">
        <f t="shared" si="123"/>
        <v>1</v>
      </c>
    </row>
    <row r="1926" spans="1:13" x14ac:dyDescent="0.2">
      <c r="A1926" s="9">
        <v>44664</v>
      </c>
      <c r="B1926">
        <f t="shared" si="120"/>
        <v>13</v>
      </c>
      <c r="C1926">
        <f t="shared" si="121"/>
        <v>4</v>
      </c>
      <c r="D1926">
        <f t="shared" si="122"/>
        <v>2022</v>
      </c>
      <c r="E1926" s="11">
        <v>3.1309999999999998</v>
      </c>
      <c r="F1926" s="11">
        <v>101.54900000000001</v>
      </c>
      <c r="G1926" s="11">
        <v>27.4</v>
      </c>
      <c r="H1926" s="1" t="s">
        <v>0</v>
      </c>
      <c r="I1926">
        <v>0</v>
      </c>
      <c r="J1926">
        <v>33.5</v>
      </c>
      <c r="K1926">
        <v>25.1</v>
      </c>
      <c r="L1926">
        <v>28.2</v>
      </c>
      <c r="M1926">
        <f t="shared" si="123"/>
        <v>0</v>
      </c>
    </row>
    <row r="1927" spans="1:13" x14ac:dyDescent="0.2">
      <c r="A1927" s="9">
        <v>44665</v>
      </c>
      <c r="B1927">
        <f t="shared" si="120"/>
        <v>14</v>
      </c>
      <c r="C1927">
        <f t="shared" si="121"/>
        <v>4</v>
      </c>
      <c r="D1927">
        <f t="shared" si="122"/>
        <v>2022</v>
      </c>
      <c r="E1927" s="11">
        <v>3.1309999999999998</v>
      </c>
      <c r="F1927" s="11">
        <v>101.54900000000001</v>
      </c>
      <c r="G1927" s="11">
        <v>27.4</v>
      </c>
      <c r="H1927" s="1" t="s">
        <v>0</v>
      </c>
      <c r="I1927">
        <v>0</v>
      </c>
      <c r="J1927" t="s">
        <v>6</v>
      </c>
      <c r="K1927">
        <v>25.8</v>
      </c>
      <c r="L1927">
        <v>28.4</v>
      </c>
      <c r="M1927">
        <f t="shared" si="123"/>
        <v>0</v>
      </c>
    </row>
    <row r="1928" spans="1:13" x14ac:dyDescent="0.2">
      <c r="A1928" s="9">
        <v>44666</v>
      </c>
      <c r="B1928">
        <f t="shared" si="120"/>
        <v>15</v>
      </c>
      <c r="C1928">
        <f t="shared" si="121"/>
        <v>4</v>
      </c>
      <c r="D1928">
        <f t="shared" si="122"/>
        <v>2022</v>
      </c>
      <c r="E1928" s="11">
        <v>3.1309999999999998</v>
      </c>
      <c r="F1928" s="11">
        <v>101.54900000000001</v>
      </c>
      <c r="G1928" s="11">
        <v>27.4</v>
      </c>
      <c r="H1928" s="1" t="s">
        <v>0</v>
      </c>
      <c r="I1928">
        <v>3.8</v>
      </c>
      <c r="J1928" t="s">
        <v>6</v>
      </c>
      <c r="K1928">
        <v>25.7</v>
      </c>
      <c r="L1928">
        <v>28.9</v>
      </c>
      <c r="M1928">
        <f t="shared" si="123"/>
        <v>1</v>
      </c>
    </row>
    <row r="1929" spans="1:13" x14ac:dyDescent="0.2">
      <c r="A1929" s="9">
        <v>44667</v>
      </c>
      <c r="B1929">
        <f t="shared" si="120"/>
        <v>16</v>
      </c>
      <c r="C1929">
        <f t="shared" si="121"/>
        <v>4</v>
      </c>
      <c r="D1929">
        <f t="shared" si="122"/>
        <v>2022</v>
      </c>
      <c r="E1929" s="11">
        <v>3.1309999999999998</v>
      </c>
      <c r="F1929" s="11">
        <v>101.54900000000001</v>
      </c>
      <c r="G1929" s="11">
        <v>27.4</v>
      </c>
      <c r="H1929" s="1" t="s">
        <v>0</v>
      </c>
      <c r="I1929">
        <v>8.4</v>
      </c>
      <c r="J1929" t="s">
        <v>6</v>
      </c>
      <c r="K1929">
        <v>25.5</v>
      </c>
      <c r="L1929">
        <v>29.8</v>
      </c>
      <c r="M1929">
        <f t="shared" si="123"/>
        <v>1</v>
      </c>
    </row>
    <row r="1930" spans="1:13" x14ac:dyDescent="0.2">
      <c r="A1930" s="9">
        <v>44668</v>
      </c>
      <c r="B1930">
        <f t="shared" si="120"/>
        <v>17</v>
      </c>
      <c r="C1930">
        <f t="shared" si="121"/>
        <v>4</v>
      </c>
      <c r="D1930">
        <f t="shared" si="122"/>
        <v>2022</v>
      </c>
      <c r="E1930" s="11">
        <v>3.1309999999999998</v>
      </c>
      <c r="F1930" s="11">
        <v>101.54900000000001</v>
      </c>
      <c r="G1930" s="11">
        <v>27.4</v>
      </c>
      <c r="H1930" s="1" t="s">
        <v>0</v>
      </c>
      <c r="I1930">
        <v>0</v>
      </c>
      <c r="J1930">
        <v>32.799999999999997</v>
      </c>
      <c r="K1930" t="s">
        <v>6</v>
      </c>
      <c r="L1930">
        <v>27.4</v>
      </c>
      <c r="M1930">
        <f t="shared" si="123"/>
        <v>0</v>
      </c>
    </row>
    <row r="1931" spans="1:13" x14ac:dyDescent="0.2">
      <c r="A1931" s="9">
        <v>44669</v>
      </c>
      <c r="B1931">
        <f t="shared" si="120"/>
        <v>18</v>
      </c>
      <c r="C1931">
        <f t="shared" si="121"/>
        <v>4</v>
      </c>
      <c r="D1931">
        <f t="shared" si="122"/>
        <v>2022</v>
      </c>
      <c r="E1931" s="11">
        <v>3.1309999999999998</v>
      </c>
      <c r="F1931" s="11">
        <v>101.54900000000001</v>
      </c>
      <c r="G1931" s="11">
        <v>27.4</v>
      </c>
      <c r="H1931" s="1" t="s">
        <v>0</v>
      </c>
      <c r="I1931">
        <v>0</v>
      </c>
      <c r="J1931">
        <v>34</v>
      </c>
      <c r="K1931" t="s">
        <v>6</v>
      </c>
      <c r="L1931">
        <v>28</v>
      </c>
      <c r="M1931">
        <f t="shared" si="123"/>
        <v>0</v>
      </c>
    </row>
    <row r="1932" spans="1:13" x14ac:dyDescent="0.2">
      <c r="A1932" s="9">
        <v>44670</v>
      </c>
      <c r="B1932">
        <f t="shared" si="120"/>
        <v>19</v>
      </c>
      <c r="C1932">
        <f t="shared" si="121"/>
        <v>4</v>
      </c>
      <c r="D1932">
        <f t="shared" si="122"/>
        <v>2022</v>
      </c>
      <c r="E1932" s="11">
        <v>3.1309999999999998</v>
      </c>
      <c r="F1932" s="11">
        <v>101.54900000000001</v>
      </c>
      <c r="G1932" s="11">
        <v>27.4</v>
      </c>
      <c r="H1932" s="1" t="s">
        <v>0</v>
      </c>
      <c r="I1932">
        <v>0</v>
      </c>
      <c r="J1932">
        <v>34.4</v>
      </c>
      <c r="K1932" t="s">
        <v>6</v>
      </c>
      <c r="L1932">
        <v>27.6</v>
      </c>
      <c r="M1932">
        <f t="shared" si="123"/>
        <v>0</v>
      </c>
    </row>
    <row r="1933" spans="1:13" x14ac:dyDescent="0.2">
      <c r="A1933" s="9">
        <v>44671</v>
      </c>
      <c r="B1933">
        <f t="shared" si="120"/>
        <v>20</v>
      </c>
      <c r="C1933">
        <f t="shared" si="121"/>
        <v>4</v>
      </c>
      <c r="D1933">
        <f t="shared" si="122"/>
        <v>2022</v>
      </c>
      <c r="E1933" s="11">
        <v>3.1309999999999998</v>
      </c>
      <c r="F1933" s="11">
        <v>101.54900000000001</v>
      </c>
      <c r="G1933" s="11">
        <v>27.4</v>
      </c>
      <c r="H1933" s="1" t="s">
        <v>0</v>
      </c>
      <c r="I1933">
        <v>0.8</v>
      </c>
      <c r="J1933" t="s">
        <v>6</v>
      </c>
      <c r="K1933" t="s">
        <v>6</v>
      </c>
      <c r="L1933">
        <v>28.7</v>
      </c>
      <c r="M1933">
        <f t="shared" si="123"/>
        <v>1</v>
      </c>
    </row>
    <row r="1934" spans="1:13" x14ac:dyDescent="0.2">
      <c r="A1934" s="9">
        <v>44672</v>
      </c>
      <c r="B1934">
        <f t="shared" si="120"/>
        <v>21</v>
      </c>
      <c r="C1934">
        <f t="shared" si="121"/>
        <v>4</v>
      </c>
      <c r="D1934">
        <f t="shared" si="122"/>
        <v>2022</v>
      </c>
      <c r="E1934" s="11">
        <v>3.1309999999999998</v>
      </c>
      <c r="F1934" s="11">
        <v>101.54900000000001</v>
      </c>
      <c r="G1934" s="11">
        <v>27.4</v>
      </c>
      <c r="H1934" s="1" t="s">
        <v>0</v>
      </c>
      <c r="I1934">
        <v>1.8</v>
      </c>
      <c r="J1934">
        <v>32.200000000000003</v>
      </c>
      <c r="K1934">
        <v>24</v>
      </c>
      <c r="L1934">
        <v>28.4</v>
      </c>
      <c r="M1934">
        <f t="shared" si="123"/>
        <v>1</v>
      </c>
    </row>
    <row r="1935" spans="1:13" x14ac:dyDescent="0.2">
      <c r="A1935" s="9">
        <v>44673</v>
      </c>
      <c r="B1935">
        <f t="shared" si="120"/>
        <v>22</v>
      </c>
      <c r="C1935">
        <f t="shared" si="121"/>
        <v>4</v>
      </c>
      <c r="D1935">
        <f t="shared" si="122"/>
        <v>2022</v>
      </c>
      <c r="E1935" s="11">
        <v>3.1309999999999998</v>
      </c>
      <c r="F1935" s="11">
        <v>101.54900000000001</v>
      </c>
      <c r="G1935" s="11">
        <v>27.4</v>
      </c>
      <c r="H1935" s="1" t="s">
        <v>0</v>
      </c>
      <c r="I1935">
        <v>0</v>
      </c>
      <c r="J1935">
        <v>34.700000000000003</v>
      </c>
      <c r="K1935">
        <v>24.1</v>
      </c>
      <c r="L1935">
        <v>28.3</v>
      </c>
      <c r="M1935">
        <f t="shared" si="123"/>
        <v>0</v>
      </c>
    </row>
    <row r="1936" spans="1:13" x14ac:dyDescent="0.2">
      <c r="A1936" s="9">
        <v>44674</v>
      </c>
      <c r="B1936">
        <f t="shared" si="120"/>
        <v>23</v>
      </c>
      <c r="C1936">
        <f t="shared" si="121"/>
        <v>4</v>
      </c>
      <c r="D1936">
        <f t="shared" si="122"/>
        <v>2022</v>
      </c>
      <c r="E1936" s="11">
        <v>3.1309999999999998</v>
      </c>
      <c r="F1936" s="11">
        <v>101.54900000000001</v>
      </c>
      <c r="G1936" s="11">
        <v>27.4</v>
      </c>
      <c r="H1936" s="1" t="s">
        <v>0</v>
      </c>
      <c r="I1936">
        <v>3.3</v>
      </c>
      <c r="J1936">
        <v>34.4</v>
      </c>
      <c r="K1936" t="s">
        <v>6</v>
      </c>
      <c r="L1936">
        <v>29</v>
      </c>
      <c r="M1936">
        <f t="shared" si="123"/>
        <v>1</v>
      </c>
    </row>
    <row r="1937" spans="1:13" x14ac:dyDescent="0.2">
      <c r="A1937" s="9">
        <v>44675</v>
      </c>
      <c r="B1937">
        <f t="shared" si="120"/>
        <v>24</v>
      </c>
      <c r="C1937">
        <f t="shared" si="121"/>
        <v>4</v>
      </c>
      <c r="D1937">
        <f t="shared" si="122"/>
        <v>2022</v>
      </c>
      <c r="E1937" s="11">
        <v>3.1309999999999998</v>
      </c>
      <c r="F1937" s="11">
        <v>101.54900000000001</v>
      </c>
      <c r="G1937" s="11">
        <v>27.4</v>
      </c>
      <c r="H1937" s="1" t="s">
        <v>0</v>
      </c>
      <c r="I1937">
        <v>0</v>
      </c>
      <c r="J1937">
        <v>34.6</v>
      </c>
      <c r="K1937" t="s">
        <v>6</v>
      </c>
      <c r="L1937">
        <v>28.7</v>
      </c>
      <c r="M1937">
        <f t="shared" si="123"/>
        <v>0</v>
      </c>
    </row>
    <row r="1938" spans="1:13" x14ac:dyDescent="0.2">
      <c r="A1938" s="9">
        <v>44676</v>
      </c>
      <c r="B1938">
        <f t="shared" si="120"/>
        <v>25</v>
      </c>
      <c r="C1938">
        <f t="shared" si="121"/>
        <v>4</v>
      </c>
      <c r="D1938">
        <f t="shared" si="122"/>
        <v>2022</v>
      </c>
      <c r="E1938" s="11">
        <v>3.1309999999999998</v>
      </c>
      <c r="F1938" s="11">
        <v>101.54900000000001</v>
      </c>
      <c r="G1938" s="11">
        <v>27.4</v>
      </c>
      <c r="H1938" s="1" t="s">
        <v>0</v>
      </c>
      <c r="I1938">
        <v>1.5</v>
      </c>
      <c r="J1938" t="s">
        <v>6</v>
      </c>
      <c r="K1938" t="s">
        <v>6</v>
      </c>
      <c r="L1938">
        <v>27.1</v>
      </c>
      <c r="M1938">
        <f t="shared" si="123"/>
        <v>1</v>
      </c>
    </row>
    <row r="1939" spans="1:13" x14ac:dyDescent="0.2">
      <c r="A1939" s="9">
        <v>44677</v>
      </c>
      <c r="B1939">
        <f t="shared" si="120"/>
        <v>26</v>
      </c>
      <c r="C1939">
        <f t="shared" si="121"/>
        <v>4</v>
      </c>
      <c r="D1939">
        <f t="shared" si="122"/>
        <v>2022</v>
      </c>
      <c r="E1939" s="11">
        <v>3.1309999999999998</v>
      </c>
      <c r="F1939" s="11">
        <v>101.54900000000001</v>
      </c>
      <c r="G1939" s="11">
        <v>27.4</v>
      </c>
      <c r="H1939" s="1" t="s">
        <v>0</v>
      </c>
      <c r="I1939">
        <v>42.9</v>
      </c>
      <c r="J1939">
        <v>33.200000000000003</v>
      </c>
      <c r="K1939">
        <v>23.8</v>
      </c>
      <c r="L1939">
        <v>29.1</v>
      </c>
      <c r="M1939">
        <f t="shared" si="123"/>
        <v>1</v>
      </c>
    </row>
    <row r="1940" spans="1:13" x14ac:dyDescent="0.2">
      <c r="A1940" s="9">
        <v>44678</v>
      </c>
      <c r="B1940">
        <f t="shared" si="120"/>
        <v>27</v>
      </c>
      <c r="C1940">
        <f t="shared" si="121"/>
        <v>4</v>
      </c>
      <c r="D1940">
        <f t="shared" si="122"/>
        <v>2022</v>
      </c>
      <c r="E1940" s="11">
        <v>3.1309999999999998</v>
      </c>
      <c r="F1940" s="11">
        <v>101.54900000000001</v>
      </c>
      <c r="G1940" s="11">
        <v>27.4</v>
      </c>
      <c r="H1940" s="1" t="s">
        <v>0</v>
      </c>
      <c r="I1940">
        <v>14.2</v>
      </c>
      <c r="J1940">
        <v>35</v>
      </c>
      <c r="K1940">
        <v>25.6</v>
      </c>
      <c r="L1940">
        <v>29</v>
      </c>
      <c r="M1940">
        <f t="shared" si="123"/>
        <v>1</v>
      </c>
    </row>
    <row r="1941" spans="1:13" x14ac:dyDescent="0.2">
      <c r="A1941" s="9">
        <v>44679</v>
      </c>
      <c r="B1941">
        <f t="shared" si="120"/>
        <v>28</v>
      </c>
      <c r="C1941">
        <f t="shared" si="121"/>
        <v>4</v>
      </c>
      <c r="D1941">
        <f t="shared" si="122"/>
        <v>2022</v>
      </c>
      <c r="E1941" s="11">
        <v>3.1309999999999998</v>
      </c>
      <c r="F1941" s="11">
        <v>101.54900000000001</v>
      </c>
      <c r="G1941" s="11">
        <v>27.4</v>
      </c>
      <c r="H1941" s="1" t="s">
        <v>0</v>
      </c>
      <c r="I1941">
        <v>1.8</v>
      </c>
      <c r="J1941" t="s">
        <v>6</v>
      </c>
      <c r="K1941" t="s">
        <v>6</v>
      </c>
      <c r="L1941">
        <v>28.6</v>
      </c>
      <c r="M1941">
        <f t="shared" si="123"/>
        <v>1</v>
      </c>
    </row>
    <row r="1942" spans="1:13" x14ac:dyDescent="0.2">
      <c r="A1942" s="9">
        <v>44680</v>
      </c>
      <c r="B1942">
        <f t="shared" si="120"/>
        <v>29</v>
      </c>
      <c r="C1942">
        <f t="shared" si="121"/>
        <v>4</v>
      </c>
      <c r="D1942">
        <f t="shared" si="122"/>
        <v>2022</v>
      </c>
      <c r="E1942" s="11">
        <v>3.1309999999999998</v>
      </c>
      <c r="F1942" s="11">
        <v>101.54900000000001</v>
      </c>
      <c r="G1942" s="11">
        <v>27.4</v>
      </c>
      <c r="H1942" s="1" t="s">
        <v>0</v>
      </c>
      <c r="I1942">
        <v>42.9</v>
      </c>
      <c r="J1942">
        <v>34</v>
      </c>
      <c r="K1942">
        <v>23.4</v>
      </c>
      <c r="L1942">
        <v>29.2</v>
      </c>
      <c r="M1942">
        <f t="shared" si="123"/>
        <v>1</v>
      </c>
    </row>
    <row r="1943" spans="1:13" x14ac:dyDescent="0.2">
      <c r="A1943" s="9">
        <v>44681</v>
      </c>
      <c r="B1943">
        <f t="shared" si="120"/>
        <v>30</v>
      </c>
      <c r="C1943">
        <f t="shared" si="121"/>
        <v>4</v>
      </c>
      <c r="D1943">
        <f t="shared" si="122"/>
        <v>2022</v>
      </c>
      <c r="E1943" s="11">
        <v>3.1309999999999998</v>
      </c>
      <c r="F1943" s="11">
        <v>101.54900000000001</v>
      </c>
      <c r="G1943" s="11">
        <v>27.4</v>
      </c>
      <c r="H1943" s="1" t="s">
        <v>0</v>
      </c>
      <c r="I1943">
        <v>0</v>
      </c>
      <c r="J1943">
        <v>34.1</v>
      </c>
      <c r="K1943" t="s">
        <v>6</v>
      </c>
      <c r="L1943">
        <v>29.1</v>
      </c>
      <c r="M1943">
        <f t="shared" si="123"/>
        <v>0</v>
      </c>
    </row>
    <row r="1944" spans="1:13" x14ac:dyDescent="0.2">
      <c r="A1944" s="9">
        <v>44682</v>
      </c>
      <c r="B1944">
        <f t="shared" si="120"/>
        <v>1</v>
      </c>
      <c r="C1944">
        <f t="shared" si="121"/>
        <v>5</v>
      </c>
      <c r="D1944">
        <f t="shared" si="122"/>
        <v>2022</v>
      </c>
      <c r="E1944" s="11">
        <v>3.1309999999999998</v>
      </c>
      <c r="F1944" s="11">
        <v>101.54900000000001</v>
      </c>
      <c r="G1944" s="11">
        <v>27.4</v>
      </c>
      <c r="H1944" s="1" t="s">
        <v>0</v>
      </c>
      <c r="I1944">
        <v>0.8</v>
      </c>
      <c r="J1944">
        <v>32.5</v>
      </c>
      <c r="K1944" t="s">
        <v>6</v>
      </c>
      <c r="L1944">
        <v>26.8</v>
      </c>
      <c r="M1944">
        <f t="shared" si="123"/>
        <v>1</v>
      </c>
    </row>
    <row r="1945" spans="1:13" x14ac:dyDescent="0.2">
      <c r="A1945" s="9">
        <v>44683</v>
      </c>
      <c r="B1945">
        <f t="shared" si="120"/>
        <v>2</v>
      </c>
      <c r="C1945">
        <f t="shared" si="121"/>
        <v>5</v>
      </c>
      <c r="D1945">
        <f t="shared" si="122"/>
        <v>2022</v>
      </c>
      <c r="E1945" s="11">
        <v>3.1309999999999998</v>
      </c>
      <c r="F1945" s="11">
        <v>101.54900000000001</v>
      </c>
      <c r="G1945" s="11">
        <v>27.4</v>
      </c>
      <c r="H1945" s="1" t="s">
        <v>0</v>
      </c>
      <c r="I1945">
        <v>0.8</v>
      </c>
      <c r="J1945">
        <v>32.6</v>
      </c>
      <c r="K1945" t="s">
        <v>6</v>
      </c>
      <c r="L1945">
        <v>26.7</v>
      </c>
      <c r="M1945">
        <f t="shared" si="123"/>
        <v>1</v>
      </c>
    </row>
    <row r="1946" spans="1:13" x14ac:dyDescent="0.2">
      <c r="A1946" s="9">
        <v>44684</v>
      </c>
      <c r="B1946">
        <f t="shared" si="120"/>
        <v>3</v>
      </c>
      <c r="C1946">
        <f t="shared" si="121"/>
        <v>5</v>
      </c>
      <c r="D1946">
        <f t="shared" si="122"/>
        <v>2022</v>
      </c>
      <c r="E1946" s="11">
        <v>3.1309999999999998</v>
      </c>
      <c r="F1946" s="11">
        <v>101.54900000000001</v>
      </c>
      <c r="G1946" s="11">
        <v>27.4</v>
      </c>
      <c r="H1946" s="1" t="s">
        <v>0</v>
      </c>
      <c r="I1946">
        <v>49.5</v>
      </c>
      <c r="J1946">
        <v>31</v>
      </c>
      <c r="K1946">
        <v>23.8</v>
      </c>
      <c r="L1946">
        <v>27.8</v>
      </c>
      <c r="M1946">
        <f t="shared" si="123"/>
        <v>1</v>
      </c>
    </row>
    <row r="1947" spans="1:13" x14ac:dyDescent="0.2">
      <c r="A1947" s="9">
        <v>44685</v>
      </c>
      <c r="B1947">
        <f t="shared" si="120"/>
        <v>4</v>
      </c>
      <c r="C1947">
        <f t="shared" si="121"/>
        <v>5</v>
      </c>
      <c r="D1947">
        <f t="shared" si="122"/>
        <v>2022</v>
      </c>
      <c r="E1947" s="11">
        <v>3.1309999999999998</v>
      </c>
      <c r="F1947" s="11">
        <v>101.54900000000001</v>
      </c>
      <c r="G1947" s="11">
        <v>27.4</v>
      </c>
      <c r="H1947" s="1" t="s">
        <v>0</v>
      </c>
      <c r="I1947">
        <v>2.2999999999999998</v>
      </c>
      <c r="J1947" t="s">
        <v>6</v>
      </c>
      <c r="K1947">
        <v>24.3</v>
      </c>
      <c r="L1947">
        <v>28.6</v>
      </c>
      <c r="M1947">
        <f t="shared" si="123"/>
        <v>1</v>
      </c>
    </row>
    <row r="1948" spans="1:13" x14ac:dyDescent="0.2">
      <c r="A1948" s="9">
        <v>44686</v>
      </c>
      <c r="B1948">
        <f t="shared" si="120"/>
        <v>5</v>
      </c>
      <c r="C1948">
        <f t="shared" si="121"/>
        <v>5</v>
      </c>
      <c r="D1948">
        <f t="shared" si="122"/>
        <v>2022</v>
      </c>
      <c r="E1948" s="11">
        <v>3.1309999999999998</v>
      </c>
      <c r="F1948" s="11">
        <v>101.54900000000001</v>
      </c>
      <c r="G1948" s="11">
        <v>27.4</v>
      </c>
      <c r="H1948" s="1" t="s">
        <v>0</v>
      </c>
      <c r="I1948">
        <v>0</v>
      </c>
      <c r="J1948">
        <v>34.1</v>
      </c>
      <c r="K1948">
        <v>25.9</v>
      </c>
      <c r="L1948">
        <v>30.2</v>
      </c>
      <c r="M1948">
        <f t="shared" si="123"/>
        <v>0</v>
      </c>
    </row>
    <row r="1949" spans="1:13" x14ac:dyDescent="0.2">
      <c r="A1949" s="9">
        <v>44687</v>
      </c>
      <c r="B1949">
        <f t="shared" si="120"/>
        <v>6</v>
      </c>
      <c r="C1949">
        <f t="shared" si="121"/>
        <v>5</v>
      </c>
      <c r="D1949">
        <f t="shared" si="122"/>
        <v>2022</v>
      </c>
      <c r="E1949" s="11">
        <v>3.1309999999999998</v>
      </c>
      <c r="F1949" s="11">
        <v>101.54900000000001</v>
      </c>
      <c r="G1949" s="11">
        <v>27.4</v>
      </c>
      <c r="H1949" s="1" t="s">
        <v>0</v>
      </c>
      <c r="I1949">
        <v>0</v>
      </c>
      <c r="J1949">
        <v>33.200000000000003</v>
      </c>
      <c r="K1949" t="s">
        <v>6</v>
      </c>
      <c r="L1949">
        <v>29.4</v>
      </c>
      <c r="M1949">
        <f t="shared" si="123"/>
        <v>0</v>
      </c>
    </row>
    <row r="1950" spans="1:13" x14ac:dyDescent="0.2">
      <c r="A1950" s="9">
        <v>44688</v>
      </c>
      <c r="B1950">
        <f t="shared" si="120"/>
        <v>7</v>
      </c>
      <c r="C1950">
        <f t="shared" si="121"/>
        <v>5</v>
      </c>
      <c r="D1950">
        <f t="shared" si="122"/>
        <v>2022</v>
      </c>
      <c r="E1950" s="11">
        <v>3.1309999999999998</v>
      </c>
      <c r="F1950" s="11">
        <v>101.54900000000001</v>
      </c>
      <c r="G1950" s="11">
        <v>27.4</v>
      </c>
      <c r="H1950" s="1" t="s">
        <v>0</v>
      </c>
      <c r="I1950">
        <v>4.5999999999999996</v>
      </c>
      <c r="J1950">
        <v>33.200000000000003</v>
      </c>
      <c r="K1950">
        <v>24.2</v>
      </c>
      <c r="L1950">
        <v>29</v>
      </c>
      <c r="M1950">
        <f t="shared" si="123"/>
        <v>1</v>
      </c>
    </row>
    <row r="1951" spans="1:13" x14ac:dyDescent="0.2">
      <c r="A1951" s="9">
        <v>44689</v>
      </c>
      <c r="B1951">
        <f t="shared" si="120"/>
        <v>8</v>
      </c>
      <c r="C1951">
        <f t="shared" si="121"/>
        <v>5</v>
      </c>
      <c r="D1951">
        <f t="shared" si="122"/>
        <v>2022</v>
      </c>
      <c r="E1951" s="11">
        <v>3.1309999999999998</v>
      </c>
      <c r="F1951" s="11">
        <v>101.54900000000001</v>
      </c>
      <c r="G1951" s="11">
        <v>27.4</v>
      </c>
      <c r="H1951" s="1" t="s">
        <v>0</v>
      </c>
      <c r="I1951">
        <v>2.2999999999999998</v>
      </c>
      <c r="J1951">
        <v>33.200000000000003</v>
      </c>
      <c r="K1951">
        <v>24.2</v>
      </c>
      <c r="L1951">
        <v>29.7</v>
      </c>
      <c r="M1951">
        <f t="shared" si="123"/>
        <v>1</v>
      </c>
    </row>
    <row r="1952" spans="1:13" x14ac:dyDescent="0.2">
      <c r="A1952" s="9">
        <v>44690</v>
      </c>
      <c r="B1952">
        <f t="shared" si="120"/>
        <v>9</v>
      </c>
      <c r="C1952">
        <f t="shared" si="121"/>
        <v>5</v>
      </c>
      <c r="D1952">
        <f t="shared" si="122"/>
        <v>2022</v>
      </c>
      <c r="E1952" s="11">
        <v>3.1309999999999998</v>
      </c>
      <c r="F1952" s="11">
        <v>101.54900000000001</v>
      </c>
      <c r="G1952" s="11">
        <v>27.4</v>
      </c>
      <c r="H1952" s="1" t="s">
        <v>0</v>
      </c>
      <c r="I1952">
        <v>0</v>
      </c>
      <c r="J1952">
        <v>34.1</v>
      </c>
      <c r="K1952">
        <v>25.4</v>
      </c>
      <c r="L1952">
        <v>30.2</v>
      </c>
      <c r="M1952">
        <f t="shared" si="123"/>
        <v>0</v>
      </c>
    </row>
    <row r="1953" spans="1:13" x14ac:dyDescent="0.2">
      <c r="A1953" s="9">
        <v>44691</v>
      </c>
      <c r="B1953">
        <f t="shared" si="120"/>
        <v>10</v>
      </c>
      <c r="C1953">
        <f t="shared" si="121"/>
        <v>5</v>
      </c>
      <c r="D1953">
        <f t="shared" si="122"/>
        <v>2022</v>
      </c>
      <c r="E1953" s="11">
        <v>3.1309999999999998</v>
      </c>
      <c r="F1953" s="11">
        <v>101.54900000000001</v>
      </c>
      <c r="G1953" s="11">
        <v>27.4</v>
      </c>
      <c r="H1953" s="1" t="s">
        <v>0</v>
      </c>
      <c r="I1953">
        <v>0</v>
      </c>
      <c r="J1953" t="s">
        <v>6</v>
      </c>
      <c r="K1953" t="s">
        <v>6</v>
      </c>
      <c r="L1953">
        <v>31.1</v>
      </c>
      <c r="M1953">
        <f t="shared" si="123"/>
        <v>0</v>
      </c>
    </row>
    <row r="1954" spans="1:13" x14ac:dyDescent="0.2">
      <c r="A1954" s="9">
        <v>44692</v>
      </c>
      <c r="B1954">
        <f t="shared" si="120"/>
        <v>11</v>
      </c>
      <c r="C1954">
        <f t="shared" si="121"/>
        <v>5</v>
      </c>
      <c r="D1954">
        <f t="shared" si="122"/>
        <v>2022</v>
      </c>
      <c r="E1954" s="11">
        <v>3.1309999999999998</v>
      </c>
      <c r="F1954" s="11">
        <v>101.54900000000001</v>
      </c>
      <c r="G1954" s="11">
        <v>27.4</v>
      </c>
      <c r="H1954" s="1" t="s">
        <v>0</v>
      </c>
      <c r="I1954">
        <v>0.5</v>
      </c>
      <c r="J1954">
        <v>32.6</v>
      </c>
      <c r="K1954">
        <v>24.7</v>
      </c>
      <c r="L1954">
        <v>29.5</v>
      </c>
      <c r="M1954">
        <f t="shared" si="123"/>
        <v>1</v>
      </c>
    </row>
    <row r="1955" spans="1:13" x14ac:dyDescent="0.2">
      <c r="A1955" s="9">
        <v>44693</v>
      </c>
      <c r="B1955">
        <f t="shared" si="120"/>
        <v>12</v>
      </c>
      <c r="C1955">
        <f t="shared" si="121"/>
        <v>5</v>
      </c>
      <c r="D1955">
        <f t="shared" si="122"/>
        <v>2022</v>
      </c>
      <c r="E1955" s="11">
        <v>3.1309999999999998</v>
      </c>
      <c r="F1955" s="11">
        <v>101.54900000000001</v>
      </c>
      <c r="G1955" s="11">
        <v>27.4</v>
      </c>
      <c r="H1955" s="1" t="s">
        <v>0</v>
      </c>
      <c r="I1955">
        <v>0</v>
      </c>
      <c r="J1955">
        <v>35.799999999999997</v>
      </c>
      <c r="K1955">
        <v>25</v>
      </c>
      <c r="L1955">
        <v>30.1</v>
      </c>
      <c r="M1955">
        <f t="shared" si="123"/>
        <v>0</v>
      </c>
    </row>
    <row r="1956" spans="1:13" x14ac:dyDescent="0.2">
      <c r="A1956" s="9">
        <v>44694</v>
      </c>
      <c r="B1956">
        <f t="shared" si="120"/>
        <v>13</v>
      </c>
      <c r="C1956">
        <f t="shared" si="121"/>
        <v>5</v>
      </c>
      <c r="D1956">
        <f t="shared" si="122"/>
        <v>2022</v>
      </c>
      <c r="E1956" s="11">
        <v>3.1309999999999998</v>
      </c>
      <c r="F1956" s="11">
        <v>101.54900000000001</v>
      </c>
      <c r="G1956" s="11">
        <v>27.4</v>
      </c>
      <c r="H1956" s="1" t="s">
        <v>0</v>
      </c>
      <c r="I1956">
        <v>0</v>
      </c>
      <c r="J1956" t="s">
        <v>6</v>
      </c>
      <c r="K1956">
        <v>26.5</v>
      </c>
      <c r="L1956">
        <v>30.8</v>
      </c>
      <c r="M1956">
        <f t="shared" si="123"/>
        <v>0</v>
      </c>
    </row>
    <row r="1957" spans="1:13" x14ac:dyDescent="0.2">
      <c r="A1957" s="9">
        <v>44695</v>
      </c>
      <c r="B1957">
        <f t="shared" si="120"/>
        <v>14</v>
      </c>
      <c r="C1957">
        <f t="shared" si="121"/>
        <v>5</v>
      </c>
      <c r="D1957">
        <f t="shared" si="122"/>
        <v>2022</v>
      </c>
      <c r="E1957" s="11">
        <v>3.1309999999999998</v>
      </c>
      <c r="F1957" s="11">
        <v>101.54900000000001</v>
      </c>
      <c r="G1957" s="11">
        <v>27.4</v>
      </c>
      <c r="H1957" s="1" t="s">
        <v>0</v>
      </c>
      <c r="I1957">
        <v>0</v>
      </c>
      <c r="J1957">
        <v>33.6</v>
      </c>
      <c r="K1957" t="s">
        <v>6</v>
      </c>
      <c r="L1957">
        <v>29.2</v>
      </c>
      <c r="M1957">
        <f t="shared" si="123"/>
        <v>0</v>
      </c>
    </row>
    <row r="1958" spans="1:13" x14ac:dyDescent="0.2">
      <c r="A1958" s="9">
        <v>44696</v>
      </c>
      <c r="B1958">
        <f t="shared" si="120"/>
        <v>15</v>
      </c>
      <c r="C1958">
        <f t="shared" si="121"/>
        <v>5</v>
      </c>
      <c r="D1958">
        <f t="shared" si="122"/>
        <v>2022</v>
      </c>
      <c r="E1958" s="11">
        <v>3.1309999999999998</v>
      </c>
      <c r="F1958" s="11">
        <v>101.54900000000001</v>
      </c>
      <c r="G1958" s="11">
        <v>27.4</v>
      </c>
      <c r="H1958" s="1" t="s">
        <v>0</v>
      </c>
      <c r="I1958">
        <v>0</v>
      </c>
      <c r="J1958">
        <v>34.1</v>
      </c>
      <c r="K1958" t="s">
        <v>6</v>
      </c>
      <c r="L1958">
        <v>29.1</v>
      </c>
      <c r="M1958">
        <f t="shared" si="123"/>
        <v>0</v>
      </c>
    </row>
    <row r="1959" spans="1:13" x14ac:dyDescent="0.2">
      <c r="A1959" s="9">
        <v>44697</v>
      </c>
      <c r="B1959">
        <f t="shared" si="120"/>
        <v>16</v>
      </c>
      <c r="C1959">
        <f t="shared" si="121"/>
        <v>5</v>
      </c>
      <c r="D1959">
        <f t="shared" si="122"/>
        <v>2022</v>
      </c>
      <c r="E1959" s="11">
        <v>3.1309999999999998</v>
      </c>
      <c r="F1959" s="11">
        <v>101.54900000000001</v>
      </c>
      <c r="G1959" s="11">
        <v>27.4</v>
      </c>
      <c r="H1959" s="1" t="s">
        <v>0</v>
      </c>
      <c r="I1959">
        <v>0.5</v>
      </c>
      <c r="J1959">
        <v>30.7</v>
      </c>
      <c r="K1959" t="s">
        <v>6</v>
      </c>
      <c r="L1959">
        <v>25.6</v>
      </c>
      <c r="M1959">
        <f t="shared" si="123"/>
        <v>1</v>
      </c>
    </row>
    <row r="1960" spans="1:13" x14ac:dyDescent="0.2">
      <c r="A1960" s="9">
        <v>44698</v>
      </c>
      <c r="B1960">
        <f t="shared" si="120"/>
        <v>17</v>
      </c>
      <c r="C1960">
        <f t="shared" si="121"/>
        <v>5</v>
      </c>
      <c r="D1960">
        <f t="shared" si="122"/>
        <v>2022</v>
      </c>
      <c r="E1960" s="11">
        <v>3.1309999999999998</v>
      </c>
      <c r="F1960" s="11">
        <v>101.54900000000001</v>
      </c>
      <c r="G1960" s="11">
        <v>27.4</v>
      </c>
      <c r="H1960" s="1" t="s">
        <v>0</v>
      </c>
      <c r="I1960">
        <v>22.1</v>
      </c>
      <c r="J1960">
        <v>35</v>
      </c>
      <c r="K1960">
        <v>23.9</v>
      </c>
      <c r="L1960">
        <v>29.4</v>
      </c>
      <c r="M1960">
        <f t="shared" si="123"/>
        <v>1</v>
      </c>
    </row>
    <row r="1961" spans="1:13" x14ac:dyDescent="0.2">
      <c r="A1961" s="9">
        <v>44699</v>
      </c>
      <c r="B1961">
        <f t="shared" si="120"/>
        <v>18</v>
      </c>
      <c r="C1961">
        <f t="shared" si="121"/>
        <v>5</v>
      </c>
      <c r="D1961">
        <f t="shared" si="122"/>
        <v>2022</v>
      </c>
      <c r="E1961" s="11">
        <v>3.1309999999999998</v>
      </c>
      <c r="F1961" s="11">
        <v>101.54900000000001</v>
      </c>
      <c r="G1961" s="11">
        <v>27.4</v>
      </c>
      <c r="H1961" s="1" t="s">
        <v>0</v>
      </c>
      <c r="I1961">
        <v>0</v>
      </c>
      <c r="J1961" t="s">
        <v>6</v>
      </c>
      <c r="K1961">
        <v>24.8</v>
      </c>
      <c r="L1961">
        <v>28.9</v>
      </c>
      <c r="M1961">
        <f t="shared" si="123"/>
        <v>0</v>
      </c>
    </row>
    <row r="1962" spans="1:13" x14ac:dyDescent="0.2">
      <c r="A1962" s="9">
        <v>44700</v>
      </c>
      <c r="B1962">
        <f t="shared" si="120"/>
        <v>19</v>
      </c>
      <c r="C1962">
        <f t="shared" si="121"/>
        <v>5</v>
      </c>
      <c r="D1962">
        <f t="shared" si="122"/>
        <v>2022</v>
      </c>
      <c r="E1962" s="11">
        <v>3.1309999999999998</v>
      </c>
      <c r="F1962" s="11">
        <v>101.54900000000001</v>
      </c>
      <c r="G1962" s="11">
        <v>27.4</v>
      </c>
      <c r="H1962" s="1" t="s">
        <v>0</v>
      </c>
      <c r="I1962">
        <v>0</v>
      </c>
      <c r="J1962">
        <v>35.1</v>
      </c>
      <c r="K1962">
        <v>25.9</v>
      </c>
      <c r="L1962">
        <v>29.3</v>
      </c>
      <c r="M1962">
        <f t="shared" si="123"/>
        <v>0</v>
      </c>
    </row>
    <row r="1963" spans="1:13" x14ac:dyDescent="0.2">
      <c r="A1963" s="9">
        <v>44701</v>
      </c>
      <c r="B1963">
        <f t="shared" si="120"/>
        <v>20</v>
      </c>
      <c r="C1963">
        <f t="shared" si="121"/>
        <v>5</v>
      </c>
      <c r="D1963">
        <f t="shared" si="122"/>
        <v>2022</v>
      </c>
      <c r="E1963" s="11">
        <v>3.1309999999999998</v>
      </c>
      <c r="F1963" s="11">
        <v>101.54900000000001</v>
      </c>
      <c r="G1963" s="11">
        <v>27.4</v>
      </c>
      <c r="H1963" s="1" t="s">
        <v>0</v>
      </c>
      <c r="I1963">
        <v>0</v>
      </c>
      <c r="J1963">
        <v>36.1</v>
      </c>
      <c r="K1963" t="s">
        <v>6</v>
      </c>
      <c r="L1963">
        <v>30.5</v>
      </c>
      <c r="M1963">
        <f t="shared" si="123"/>
        <v>0</v>
      </c>
    </row>
    <row r="1964" spans="1:13" x14ac:dyDescent="0.2">
      <c r="A1964" s="9">
        <v>44702</v>
      </c>
      <c r="B1964">
        <f t="shared" si="120"/>
        <v>21</v>
      </c>
      <c r="C1964">
        <f t="shared" si="121"/>
        <v>5</v>
      </c>
      <c r="D1964">
        <f t="shared" si="122"/>
        <v>2022</v>
      </c>
      <c r="E1964" s="11">
        <v>3.1309999999999998</v>
      </c>
      <c r="F1964" s="11">
        <v>101.54900000000001</v>
      </c>
      <c r="G1964" s="11">
        <v>27.4</v>
      </c>
      <c r="H1964" s="1" t="s">
        <v>0</v>
      </c>
      <c r="I1964">
        <v>0</v>
      </c>
      <c r="J1964">
        <v>35.9</v>
      </c>
      <c r="K1964" t="s">
        <v>6</v>
      </c>
      <c r="L1964">
        <v>30.1</v>
      </c>
      <c r="M1964">
        <f t="shared" si="123"/>
        <v>0</v>
      </c>
    </row>
    <row r="1965" spans="1:13" x14ac:dyDescent="0.2">
      <c r="A1965" s="9">
        <v>44703</v>
      </c>
      <c r="B1965">
        <f t="shared" si="120"/>
        <v>22</v>
      </c>
      <c r="C1965">
        <f t="shared" si="121"/>
        <v>5</v>
      </c>
      <c r="D1965">
        <f t="shared" si="122"/>
        <v>2022</v>
      </c>
      <c r="E1965" s="11">
        <v>3.1309999999999998</v>
      </c>
      <c r="F1965" s="11">
        <v>101.54900000000001</v>
      </c>
      <c r="G1965" s="11">
        <v>27.4</v>
      </c>
      <c r="H1965" s="1" t="s">
        <v>0</v>
      </c>
      <c r="I1965">
        <v>0</v>
      </c>
      <c r="J1965">
        <v>35.5</v>
      </c>
      <c r="K1965">
        <v>25.3</v>
      </c>
      <c r="L1965">
        <v>30.9</v>
      </c>
      <c r="M1965">
        <f t="shared" si="123"/>
        <v>0</v>
      </c>
    </row>
    <row r="1966" spans="1:13" x14ac:dyDescent="0.2">
      <c r="A1966" s="9">
        <v>44704</v>
      </c>
      <c r="B1966">
        <f t="shared" si="120"/>
        <v>23</v>
      </c>
      <c r="C1966">
        <f t="shared" si="121"/>
        <v>5</v>
      </c>
      <c r="D1966">
        <f t="shared" si="122"/>
        <v>2022</v>
      </c>
      <c r="E1966" s="11">
        <v>3.1309999999999998</v>
      </c>
      <c r="F1966" s="11">
        <v>101.54900000000001</v>
      </c>
      <c r="G1966" s="11">
        <v>27.4</v>
      </c>
      <c r="H1966" s="1" t="s">
        <v>0</v>
      </c>
      <c r="I1966">
        <v>0</v>
      </c>
      <c r="J1966">
        <v>34.299999999999997</v>
      </c>
      <c r="K1966">
        <v>26.5</v>
      </c>
      <c r="L1966">
        <v>29.4</v>
      </c>
      <c r="M1966">
        <f t="shared" si="123"/>
        <v>0</v>
      </c>
    </row>
    <row r="1967" spans="1:13" x14ac:dyDescent="0.2">
      <c r="A1967" s="9">
        <v>44705</v>
      </c>
      <c r="B1967">
        <f t="shared" si="120"/>
        <v>24</v>
      </c>
      <c r="C1967">
        <f t="shared" si="121"/>
        <v>5</v>
      </c>
      <c r="D1967">
        <f t="shared" si="122"/>
        <v>2022</v>
      </c>
      <c r="E1967" s="11">
        <v>3.1309999999999998</v>
      </c>
      <c r="F1967" s="11">
        <v>101.54900000000001</v>
      </c>
      <c r="G1967" s="11">
        <v>27.4</v>
      </c>
      <c r="H1967" s="1" t="s">
        <v>0</v>
      </c>
      <c r="I1967">
        <v>0</v>
      </c>
      <c r="J1967">
        <v>35</v>
      </c>
      <c r="K1967" t="s">
        <v>6</v>
      </c>
      <c r="L1967">
        <v>28.9</v>
      </c>
      <c r="M1967">
        <f t="shared" si="123"/>
        <v>0</v>
      </c>
    </row>
    <row r="1968" spans="1:13" x14ac:dyDescent="0.2">
      <c r="A1968" s="9">
        <v>44706</v>
      </c>
      <c r="B1968">
        <f t="shared" si="120"/>
        <v>25</v>
      </c>
      <c r="C1968">
        <f t="shared" si="121"/>
        <v>5</v>
      </c>
      <c r="D1968">
        <f t="shared" si="122"/>
        <v>2022</v>
      </c>
      <c r="E1968" s="11">
        <v>3.1309999999999998</v>
      </c>
      <c r="F1968" s="11">
        <v>101.54900000000001</v>
      </c>
      <c r="G1968" s="11">
        <v>27.4</v>
      </c>
      <c r="H1968" s="1" t="s">
        <v>0</v>
      </c>
      <c r="I1968">
        <v>3.3</v>
      </c>
      <c r="J1968" t="s">
        <v>6</v>
      </c>
      <c r="K1968" t="s">
        <v>6</v>
      </c>
      <c r="L1968">
        <v>24.3</v>
      </c>
      <c r="M1968">
        <f t="shared" si="123"/>
        <v>1</v>
      </c>
    </row>
    <row r="1969" spans="1:13" x14ac:dyDescent="0.2">
      <c r="A1969" s="9">
        <v>44707</v>
      </c>
      <c r="B1969">
        <f t="shared" si="120"/>
        <v>26</v>
      </c>
      <c r="C1969">
        <f t="shared" si="121"/>
        <v>5</v>
      </c>
      <c r="D1969">
        <f t="shared" si="122"/>
        <v>2022</v>
      </c>
      <c r="E1969" s="11">
        <v>3.1309999999999998</v>
      </c>
      <c r="F1969" s="11">
        <v>101.54900000000001</v>
      </c>
      <c r="G1969" s="11">
        <v>27.4</v>
      </c>
      <c r="H1969" s="1" t="s">
        <v>0</v>
      </c>
      <c r="I1969">
        <v>0</v>
      </c>
      <c r="J1969">
        <v>33</v>
      </c>
      <c r="K1969" t="s">
        <v>6</v>
      </c>
      <c r="L1969">
        <v>28.4</v>
      </c>
      <c r="M1969">
        <f t="shared" si="123"/>
        <v>0</v>
      </c>
    </row>
    <row r="1970" spans="1:13" x14ac:dyDescent="0.2">
      <c r="A1970" s="9">
        <v>44708</v>
      </c>
      <c r="B1970">
        <f t="shared" si="120"/>
        <v>27</v>
      </c>
      <c r="C1970">
        <f t="shared" si="121"/>
        <v>5</v>
      </c>
      <c r="D1970">
        <f t="shared" si="122"/>
        <v>2022</v>
      </c>
      <c r="E1970" s="11">
        <v>3.1309999999999998</v>
      </c>
      <c r="F1970" s="11">
        <v>101.54900000000001</v>
      </c>
      <c r="G1970" s="11">
        <v>27.4</v>
      </c>
      <c r="H1970" s="1" t="s">
        <v>0</v>
      </c>
      <c r="I1970">
        <v>0</v>
      </c>
      <c r="J1970">
        <v>34.200000000000003</v>
      </c>
      <c r="K1970">
        <v>24.1</v>
      </c>
      <c r="L1970">
        <v>28.6</v>
      </c>
      <c r="M1970">
        <f t="shared" si="123"/>
        <v>0</v>
      </c>
    </row>
    <row r="1971" spans="1:13" x14ac:dyDescent="0.2">
      <c r="A1971" s="9">
        <v>44709</v>
      </c>
      <c r="B1971">
        <f t="shared" si="120"/>
        <v>28</v>
      </c>
      <c r="C1971">
        <f t="shared" si="121"/>
        <v>5</v>
      </c>
      <c r="D1971">
        <f t="shared" si="122"/>
        <v>2022</v>
      </c>
      <c r="E1971" s="11">
        <v>3.1309999999999998</v>
      </c>
      <c r="F1971" s="11">
        <v>101.54900000000001</v>
      </c>
      <c r="G1971" s="11">
        <v>27.4</v>
      </c>
      <c r="H1971" s="1" t="s">
        <v>0</v>
      </c>
      <c r="I1971">
        <v>0.5</v>
      </c>
      <c r="J1971" t="s">
        <v>6</v>
      </c>
      <c r="K1971">
        <v>24.6</v>
      </c>
      <c r="L1971">
        <v>28.8</v>
      </c>
      <c r="M1971">
        <f t="shared" si="123"/>
        <v>1</v>
      </c>
    </row>
    <row r="1972" spans="1:13" x14ac:dyDescent="0.2">
      <c r="A1972" s="9">
        <v>44710</v>
      </c>
      <c r="B1972">
        <f t="shared" si="120"/>
        <v>29</v>
      </c>
      <c r="C1972">
        <f t="shared" si="121"/>
        <v>5</v>
      </c>
      <c r="D1972">
        <f t="shared" si="122"/>
        <v>2022</v>
      </c>
      <c r="E1972" s="11">
        <v>3.1309999999999998</v>
      </c>
      <c r="F1972" s="11">
        <v>101.54900000000001</v>
      </c>
      <c r="G1972" s="11">
        <v>27.4</v>
      </c>
      <c r="H1972" s="1" t="s">
        <v>0</v>
      </c>
      <c r="I1972">
        <v>0.3</v>
      </c>
      <c r="J1972">
        <v>35</v>
      </c>
      <c r="K1972">
        <v>25.4</v>
      </c>
      <c r="L1972">
        <v>29.7</v>
      </c>
      <c r="M1972">
        <f t="shared" si="123"/>
        <v>1</v>
      </c>
    </row>
    <row r="1973" spans="1:13" x14ac:dyDescent="0.2">
      <c r="A1973" s="9">
        <v>44711</v>
      </c>
      <c r="B1973">
        <f t="shared" si="120"/>
        <v>30</v>
      </c>
      <c r="C1973">
        <f t="shared" si="121"/>
        <v>5</v>
      </c>
      <c r="D1973">
        <f t="shared" si="122"/>
        <v>2022</v>
      </c>
      <c r="E1973" s="11">
        <v>3.1309999999999998</v>
      </c>
      <c r="F1973" s="11">
        <v>101.54900000000001</v>
      </c>
      <c r="G1973" s="11">
        <v>27.4</v>
      </c>
      <c r="H1973" s="1" t="s">
        <v>0</v>
      </c>
      <c r="I1973">
        <v>0</v>
      </c>
      <c r="J1973">
        <v>35.4</v>
      </c>
      <c r="K1973">
        <v>25.7</v>
      </c>
      <c r="L1973">
        <v>30.3</v>
      </c>
      <c r="M1973">
        <f t="shared" si="123"/>
        <v>0</v>
      </c>
    </row>
    <row r="1974" spans="1:13" x14ac:dyDescent="0.2">
      <c r="A1974" s="9">
        <v>44712</v>
      </c>
      <c r="B1974">
        <f t="shared" si="120"/>
        <v>31</v>
      </c>
      <c r="C1974">
        <f t="shared" si="121"/>
        <v>5</v>
      </c>
      <c r="D1974">
        <f t="shared" si="122"/>
        <v>2022</v>
      </c>
      <c r="E1974" s="11">
        <v>3.1309999999999998</v>
      </c>
      <c r="F1974" s="11">
        <v>101.54900000000001</v>
      </c>
      <c r="G1974" s="11">
        <v>27.4</v>
      </c>
      <c r="H1974" s="1" t="s">
        <v>0</v>
      </c>
      <c r="I1974">
        <v>0</v>
      </c>
      <c r="J1974">
        <v>35</v>
      </c>
      <c r="K1974">
        <v>25.9</v>
      </c>
      <c r="L1974">
        <v>30.1</v>
      </c>
      <c r="M1974">
        <f t="shared" si="123"/>
        <v>0</v>
      </c>
    </row>
    <row r="1975" spans="1:13" x14ac:dyDescent="0.2">
      <c r="A1975" s="9">
        <v>44713</v>
      </c>
      <c r="B1975">
        <f t="shared" si="120"/>
        <v>1</v>
      </c>
      <c r="C1975">
        <f t="shared" si="121"/>
        <v>6</v>
      </c>
      <c r="D1975">
        <f t="shared" si="122"/>
        <v>2022</v>
      </c>
      <c r="E1975" s="11">
        <v>3.1309999999999998</v>
      </c>
      <c r="F1975" s="11">
        <v>101.54900000000001</v>
      </c>
      <c r="G1975" s="11">
        <v>27.4</v>
      </c>
      <c r="H1975" s="1" t="s">
        <v>0</v>
      </c>
      <c r="I1975">
        <v>0</v>
      </c>
      <c r="J1975" t="s">
        <v>6</v>
      </c>
      <c r="K1975" t="s">
        <v>6</v>
      </c>
      <c r="L1975">
        <v>30.2</v>
      </c>
      <c r="M1975">
        <f t="shared" si="123"/>
        <v>0</v>
      </c>
    </row>
    <row r="1976" spans="1:13" x14ac:dyDescent="0.2">
      <c r="A1976" s="9">
        <v>44714</v>
      </c>
      <c r="B1976">
        <f t="shared" si="120"/>
        <v>2</v>
      </c>
      <c r="C1976">
        <f t="shared" si="121"/>
        <v>6</v>
      </c>
      <c r="D1976">
        <f t="shared" si="122"/>
        <v>2022</v>
      </c>
      <c r="E1976" s="11">
        <v>3.1309999999999998</v>
      </c>
      <c r="F1976" s="11">
        <v>101.54900000000001</v>
      </c>
      <c r="G1976" s="11">
        <v>27.4</v>
      </c>
      <c r="H1976" s="1" t="s">
        <v>0</v>
      </c>
      <c r="I1976">
        <v>0</v>
      </c>
      <c r="J1976">
        <v>34.5</v>
      </c>
      <c r="K1976" t="s">
        <v>6</v>
      </c>
      <c r="L1976">
        <v>29.4</v>
      </c>
      <c r="M1976">
        <f t="shared" si="123"/>
        <v>0</v>
      </c>
    </row>
    <row r="1977" spans="1:13" x14ac:dyDescent="0.2">
      <c r="A1977" s="9">
        <v>44715</v>
      </c>
      <c r="B1977">
        <f t="shared" si="120"/>
        <v>3</v>
      </c>
      <c r="C1977">
        <f t="shared" si="121"/>
        <v>6</v>
      </c>
      <c r="D1977">
        <f t="shared" si="122"/>
        <v>2022</v>
      </c>
      <c r="E1977" s="11">
        <v>3.1309999999999998</v>
      </c>
      <c r="F1977" s="11">
        <v>101.54900000000001</v>
      </c>
      <c r="G1977" s="11">
        <v>27.4</v>
      </c>
      <c r="H1977" s="1" t="s">
        <v>0</v>
      </c>
      <c r="I1977">
        <v>7.1</v>
      </c>
      <c r="J1977">
        <v>33.700000000000003</v>
      </c>
      <c r="K1977">
        <v>24.8</v>
      </c>
      <c r="L1977">
        <v>29.2</v>
      </c>
      <c r="M1977">
        <f t="shared" si="123"/>
        <v>1</v>
      </c>
    </row>
    <row r="1978" spans="1:13" x14ac:dyDescent="0.2">
      <c r="A1978" s="9">
        <v>44716</v>
      </c>
      <c r="B1978">
        <f t="shared" si="120"/>
        <v>4</v>
      </c>
      <c r="C1978">
        <f t="shared" si="121"/>
        <v>6</v>
      </c>
      <c r="D1978">
        <f t="shared" si="122"/>
        <v>2022</v>
      </c>
      <c r="E1978" s="11">
        <v>3.1309999999999998</v>
      </c>
      <c r="F1978" s="11">
        <v>101.54900000000001</v>
      </c>
      <c r="G1978" s="11">
        <v>27.4</v>
      </c>
      <c r="H1978" s="1" t="s">
        <v>0</v>
      </c>
      <c r="I1978">
        <v>2.2999999999999998</v>
      </c>
      <c r="J1978">
        <v>33.700000000000003</v>
      </c>
      <c r="K1978">
        <v>24.9</v>
      </c>
      <c r="L1978">
        <v>29.2</v>
      </c>
      <c r="M1978">
        <f t="shared" si="123"/>
        <v>1</v>
      </c>
    </row>
    <row r="1979" spans="1:13" x14ac:dyDescent="0.2">
      <c r="A1979" s="9">
        <v>44717</v>
      </c>
      <c r="B1979">
        <f t="shared" si="120"/>
        <v>5</v>
      </c>
      <c r="C1979">
        <f t="shared" si="121"/>
        <v>6</v>
      </c>
      <c r="D1979">
        <f t="shared" si="122"/>
        <v>2022</v>
      </c>
      <c r="E1979" s="11">
        <v>3.1309999999999998</v>
      </c>
      <c r="F1979" s="11">
        <v>101.54900000000001</v>
      </c>
      <c r="G1979" s="11">
        <v>27.4</v>
      </c>
      <c r="H1979" s="1" t="s">
        <v>0</v>
      </c>
      <c r="I1979">
        <v>0</v>
      </c>
      <c r="J1979">
        <v>31.5</v>
      </c>
      <c r="K1979" t="s">
        <v>6</v>
      </c>
      <c r="L1979">
        <v>27.8</v>
      </c>
      <c r="M1979">
        <f t="shared" si="123"/>
        <v>0</v>
      </c>
    </row>
    <row r="1980" spans="1:13" x14ac:dyDescent="0.2">
      <c r="A1980" s="9">
        <v>44718</v>
      </c>
      <c r="B1980">
        <f t="shared" si="120"/>
        <v>6</v>
      </c>
      <c r="C1980">
        <f t="shared" si="121"/>
        <v>6</v>
      </c>
      <c r="D1980">
        <f t="shared" si="122"/>
        <v>2022</v>
      </c>
      <c r="E1980" s="11">
        <v>3.1309999999999998</v>
      </c>
      <c r="F1980" s="11">
        <v>101.54900000000001</v>
      </c>
      <c r="G1980" s="11">
        <v>27.4</v>
      </c>
      <c r="H1980" s="1" t="s">
        <v>0</v>
      </c>
      <c r="I1980">
        <v>0.5</v>
      </c>
      <c r="J1980">
        <v>34</v>
      </c>
      <c r="K1980">
        <v>25.1</v>
      </c>
      <c r="L1980">
        <v>29</v>
      </c>
      <c r="M1980">
        <f t="shared" si="123"/>
        <v>1</v>
      </c>
    </row>
    <row r="1981" spans="1:13" x14ac:dyDescent="0.2">
      <c r="A1981" s="9">
        <v>44719</v>
      </c>
      <c r="B1981">
        <f t="shared" si="120"/>
        <v>7</v>
      </c>
      <c r="C1981">
        <f t="shared" si="121"/>
        <v>6</v>
      </c>
      <c r="D1981">
        <f t="shared" si="122"/>
        <v>2022</v>
      </c>
      <c r="E1981" s="11">
        <v>3.1309999999999998</v>
      </c>
      <c r="F1981" s="11">
        <v>101.54900000000001</v>
      </c>
      <c r="G1981" s="11">
        <v>27.4</v>
      </c>
      <c r="H1981" s="1" t="s">
        <v>0</v>
      </c>
      <c r="I1981">
        <v>0</v>
      </c>
      <c r="J1981">
        <v>31.8</v>
      </c>
      <c r="K1981">
        <v>25.6</v>
      </c>
      <c r="L1981">
        <v>27.7</v>
      </c>
      <c r="M1981">
        <f t="shared" si="123"/>
        <v>0</v>
      </c>
    </row>
    <row r="1982" spans="1:13" x14ac:dyDescent="0.2">
      <c r="A1982" s="9">
        <v>44720</v>
      </c>
      <c r="B1982">
        <f t="shared" si="120"/>
        <v>8</v>
      </c>
      <c r="C1982">
        <f t="shared" si="121"/>
        <v>6</v>
      </c>
      <c r="D1982">
        <f t="shared" si="122"/>
        <v>2022</v>
      </c>
      <c r="E1982" s="11">
        <v>3.1309999999999998</v>
      </c>
      <c r="F1982" s="11">
        <v>101.54900000000001</v>
      </c>
      <c r="G1982" s="11">
        <v>27.4</v>
      </c>
      <c r="H1982" s="1" t="s">
        <v>0</v>
      </c>
      <c r="I1982">
        <v>9.9</v>
      </c>
      <c r="J1982">
        <v>32.6</v>
      </c>
      <c r="K1982" t="s">
        <v>6</v>
      </c>
      <c r="L1982">
        <v>27.4</v>
      </c>
      <c r="M1982">
        <f t="shared" si="123"/>
        <v>1</v>
      </c>
    </row>
    <row r="1983" spans="1:13" x14ac:dyDescent="0.2">
      <c r="A1983" s="9">
        <v>44721</v>
      </c>
      <c r="B1983">
        <f t="shared" si="120"/>
        <v>9</v>
      </c>
      <c r="C1983">
        <f t="shared" si="121"/>
        <v>6</v>
      </c>
      <c r="D1983">
        <f t="shared" si="122"/>
        <v>2022</v>
      </c>
      <c r="E1983" s="11">
        <v>3.1309999999999998</v>
      </c>
      <c r="F1983" s="11">
        <v>101.54900000000001</v>
      </c>
      <c r="G1983" s="11">
        <v>27.4</v>
      </c>
      <c r="H1983" s="1" t="s">
        <v>0</v>
      </c>
      <c r="I1983">
        <v>17.8</v>
      </c>
      <c r="J1983">
        <v>33.799999999999997</v>
      </c>
      <c r="K1983">
        <v>23.5</v>
      </c>
      <c r="L1983">
        <v>27.2</v>
      </c>
      <c r="M1983">
        <f t="shared" si="123"/>
        <v>1</v>
      </c>
    </row>
    <row r="1984" spans="1:13" x14ac:dyDescent="0.2">
      <c r="A1984" s="9">
        <v>44722</v>
      </c>
      <c r="B1984">
        <f t="shared" si="120"/>
        <v>10</v>
      </c>
      <c r="C1984">
        <f t="shared" si="121"/>
        <v>6</v>
      </c>
      <c r="D1984">
        <f t="shared" si="122"/>
        <v>2022</v>
      </c>
      <c r="E1984" s="11">
        <v>3.1309999999999998</v>
      </c>
      <c r="F1984" s="11">
        <v>101.54900000000001</v>
      </c>
      <c r="G1984" s="11">
        <v>27.4</v>
      </c>
      <c r="H1984" s="1" t="s">
        <v>0</v>
      </c>
      <c r="I1984">
        <v>53.1</v>
      </c>
      <c r="J1984">
        <v>33</v>
      </c>
      <c r="K1984">
        <v>24</v>
      </c>
      <c r="L1984">
        <v>28.4</v>
      </c>
      <c r="M1984">
        <f t="shared" si="123"/>
        <v>1</v>
      </c>
    </row>
    <row r="1985" spans="1:13" x14ac:dyDescent="0.2">
      <c r="A1985" s="9">
        <v>44723</v>
      </c>
      <c r="B1985">
        <f t="shared" si="120"/>
        <v>11</v>
      </c>
      <c r="C1985">
        <f t="shared" si="121"/>
        <v>6</v>
      </c>
      <c r="D1985">
        <f t="shared" si="122"/>
        <v>2022</v>
      </c>
      <c r="E1985" s="11">
        <v>3.1309999999999998</v>
      </c>
      <c r="F1985" s="11">
        <v>101.54900000000001</v>
      </c>
      <c r="G1985" s="11">
        <v>27.4</v>
      </c>
      <c r="H1985" s="1" t="s">
        <v>0</v>
      </c>
      <c r="I1985">
        <v>0</v>
      </c>
      <c r="J1985" t="s">
        <v>6</v>
      </c>
      <c r="K1985" t="s">
        <v>6</v>
      </c>
      <c r="L1985">
        <v>25.3</v>
      </c>
      <c r="M1985">
        <f t="shared" si="123"/>
        <v>0</v>
      </c>
    </row>
    <row r="1986" spans="1:13" x14ac:dyDescent="0.2">
      <c r="A1986" s="9">
        <v>44724</v>
      </c>
      <c r="B1986">
        <f t="shared" si="120"/>
        <v>12</v>
      </c>
      <c r="C1986">
        <f t="shared" si="121"/>
        <v>6</v>
      </c>
      <c r="D1986">
        <f t="shared" si="122"/>
        <v>2022</v>
      </c>
      <c r="E1986" s="11">
        <v>3.1309999999999998</v>
      </c>
      <c r="F1986" s="11">
        <v>101.54900000000001</v>
      </c>
      <c r="G1986" s="11">
        <v>27.4</v>
      </c>
      <c r="H1986" s="1" t="s">
        <v>0</v>
      </c>
      <c r="I1986">
        <v>23.9</v>
      </c>
      <c r="J1986">
        <v>32.5</v>
      </c>
      <c r="K1986" t="s">
        <v>6</v>
      </c>
      <c r="L1986">
        <v>28.2</v>
      </c>
      <c r="M1986">
        <f t="shared" si="123"/>
        <v>1</v>
      </c>
    </row>
    <row r="1987" spans="1:13" x14ac:dyDescent="0.2">
      <c r="A1987" s="9">
        <v>44725</v>
      </c>
      <c r="B1987">
        <f t="shared" ref="B1987:B2050" si="124">DAY(A1987)</f>
        <v>13</v>
      </c>
      <c r="C1987">
        <f t="shared" ref="C1987:C2050" si="125">MONTH(A1987)</f>
        <v>6</v>
      </c>
      <c r="D1987">
        <f t="shared" ref="D1987:D2050" si="126">YEAR(A1987)</f>
        <v>2022</v>
      </c>
      <c r="E1987" s="11">
        <v>3.1309999999999998</v>
      </c>
      <c r="F1987" s="11">
        <v>101.54900000000001</v>
      </c>
      <c r="G1987" s="11">
        <v>27.4</v>
      </c>
      <c r="H1987" s="1" t="s">
        <v>0</v>
      </c>
      <c r="I1987">
        <v>0</v>
      </c>
      <c r="J1987">
        <v>34.299999999999997</v>
      </c>
      <c r="K1987">
        <v>23.3</v>
      </c>
      <c r="L1987">
        <v>27.8</v>
      </c>
      <c r="M1987">
        <f t="shared" ref="M1987:M2050" si="127">IF(ISNUMBER(I1987), IF(I1987&gt;0, 1, 0), "")</f>
        <v>0</v>
      </c>
    </row>
    <row r="1988" spans="1:13" x14ac:dyDescent="0.2">
      <c r="A1988" s="9">
        <v>44726</v>
      </c>
      <c r="B1988">
        <f t="shared" si="124"/>
        <v>14</v>
      </c>
      <c r="C1988">
        <f t="shared" si="125"/>
        <v>6</v>
      </c>
      <c r="D1988">
        <f t="shared" si="126"/>
        <v>2022</v>
      </c>
      <c r="E1988" s="11">
        <v>3.1309999999999998</v>
      </c>
      <c r="F1988" s="11">
        <v>101.54900000000001</v>
      </c>
      <c r="G1988" s="11">
        <v>27.4</v>
      </c>
      <c r="H1988" s="1" t="s">
        <v>0</v>
      </c>
      <c r="I1988">
        <v>1.5</v>
      </c>
      <c r="J1988">
        <v>33.5</v>
      </c>
      <c r="K1988">
        <v>24.5</v>
      </c>
      <c r="L1988">
        <v>28.6</v>
      </c>
      <c r="M1988">
        <f t="shared" si="127"/>
        <v>1</v>
      </c>
    </row>
    <row r="1989" spans="1:13" x14ac:dyDescent="0.2">
      <c r="A1989" s="9">
        <v>44727</v>
      </c>
      <c r="B1989">
        <f t="shared" si="124"/>
        <v>15</v>
      </c>
      <c r="C1989">
        <f t="shared" si="125"/>
        <v>6</v>
      </c>
      <c r="D1989">
        <f t="shared" si="126"/>
        <v>2022</v>
      </c>
      <c r="E1989" s="11">
        <v>3.1309999999999998</v>
      </c>
      <c r="F1989" s="11">
        <v>101.54900000000001</v>
      </c>
      <c r="G1989" s="11">
        <v>27.4</v>
      </c>
      <c r="H1989" s="1" t="s">
        <v>0</v>
      </c>
      <c r="I1989">
        <v>0</v>
      </c>
      <c r="J1989">
        <v>31.7</v>
      </c>
      <c r="K1989">
        <v>25</v>
      </c>
      <c r="L1989">
        <v>27.6</v>
      </c>
      <c r="M1989">
        <f t="shared" si="127"/>
        <v>0</v>
      </c>
    </row>
    <row r="1990" spans="1:13" x14ac:dyDescent="0.2">
      <c r="A1990" s="9">
        <v>44728</v>
      </c>
      <c r="B1990">
        <f t="shared" si="124"/>
        <v>16</v>
      </c>
      <c r="C1990">
        <f t="shared" si="125"/>
        <v>6</v>
      </c>
      <c r="D1990">
        <f t="shared" si="126"/>
        <v>2022</v>
      </c>
      <c r="E1990" s="11">
        <v>3.1309999999999998</v>
      </c>
      <c r="F1990" s="11">
        <v>101.54900000000001</v>
      </c>
      <c r="G1990" s="11">
        <v>27.4</v>
      </c>
      <c r="H1990" s="1" t="s">
        <v>0</v>
      </c>
      <c r="I1990">
        <v>0</v>
      </c>
      <c r="J1990">
        <v>33.700000000000003</v>
      </c>
      <c r="K1990">
        <v>24.5</v>
      </c>
      <c r="L1990">
        <v>28.1</v>
      </c>
      <c r="M1990">
        <f t="shared" si="127"/>
        <v>0</v>
      </c>
    </row>
    <row r="1991" spans="1:13" x14ac:dyDescent="0.2">
      <c r="A1991" s="9">
        <v>44729</v>
      </c>
      <c r="B1991">
        <f t="shared" si="124"/>
        <v>17</v>
      </c>
      <c r="C1991">
        <f t="shared" si="125"/>
        <v>6</v>
      </c>
      <c r="D1991">
        <f t="shared" si="126"/>
        <v>2022</v>
      </c>
      <c r="E1991" s="11">
        <v>3.1309999999999998</v>
      </c>
      <c r="F1991" s="11">
        <v>101.54900000000001</v>
      </c>
      <c r="G1991" s="11">
        <v>27.4</v>
      </c>
      <c r="H1991" s="1" t="s">
        <v>0</v>
      </c>
      <c r="I1991">
        <v>1.5</v>
      </c>
      <c r="J1991" t="s">
        <v>6</v>
      </c>
      <c r="K1991" t="s">
        <v>6</v>
      </c>
      <c r="L1991">
        <v>26.3</v>
      </c>
      <c r="M1991">
        <f t="shared" si="127"/>
        <v>1</v>
      </c>
    </row>
    <row r="1992" spans="1:13" x14ac:dyDescent="0.2">
      <c r="A1992" s="9">
        <v>44730</v>
      </c>
      <c r="B1992">
        <f t="shared" si="124"/>
        <v>18</v>
      </c>
      <c r="C1992">
        <f t="shared" si="125"/>
        <v>6</v>
      </c>
      <c r="D1992">
        <f t="shared" si="126"/>
        <v>2022</v>
      </c>
      <c r="E1992" s="11">
        <v>3.1309999999999998</v>
      </c>
      <c r="F1992" s="11">
        <v>101.54900000000001</v>
      </c>
      <c r="G1992" s="11">
        <v>27.4</v>
      </c>
      <c r="H1992" s="1" t="s">
        <v>0</v>
      </c>
      <c r="I1992">
        <v>11.7</v>
      </c>
      <c r="J1992">
        <v>33.200000000000003</v>
      </c>
      <c r="K1992">
        <v>23.9</v>
      </c>
      <c r="L1992">
        <v>27.2</v>
      </c>
      <c r="M1992">
        <f t="shared" si="127"/>
        <v>1</v>
      </c>
    </row>
    <row r="1993" spans="1:13" x14ac:dyDescent="0.2">
      <c r="A1993" s="9">
        <v>44731</v>
      </c>
      <c r="B1993">
        <f t="shared" si="124"/>
        <v>19</v>
      </c>
      <c r="C1993">
        <f t="shared" si="125"/>
        <v>6</v>
      </c>
      <c r="D1993">
        <f t="shared" si="126"/>
        <v>2022</v>
      </c>
      <c r="E1993" s="11">
        <v>3.1309999999999998</v>
      </c>
      <c r="F1993" s="11">
        <v>101.54900000000001</v>
      </c>
      <c r="G1993" s="11">
        <v>27.4</v>
      </c>
      <c r="H1993" s="1" t="s">
        <v>0</v>
      </c>
      <c r="I1993">
        <v>8.9</v>
      </c>
      <c r="J1993">
        <v>33</v>
      </c>
      <c r="K1993">
        <v>24.2</v>
      </c>
      <c r="L1993">
        <v>28.5</v>
      </c>
      <c r="M1993">
        <f t="shared" si="127"/>
        <v>1</v>
      </c>
    </row>
    <row r="1994" spans="1:13" x14ac:dyDescent="0.2">
      <c r="A1994" s="9">
        <v>44732</v>
      </c>
      <c r="B1994">
        <f t="shared" si="124"/>
        <v>20</v>
      </c>
      <c r="C1994">
        <f t="shared" si="125"/>
        <v>6</v>
      </c>
      <c r="D1994">
        <f t="shared" si="126"/>
        <v>2022</v>
      </c>
      <c r="E1994" s="11">
        <v>3.1309999999999998</v>
      </c>
      <c r="F1994" s="11">
        <v>101.54900000000001</v>
      </c>
      <c r="G1994" s="11">
        <v>27.4</v>
      </c>
      <c r="H1994" s="1" t="s">
        <v>0</v>
      </c>
      <c r="I1994">
        <v>0</v>
      </c>
      <c r="J1994">
        <v>29</v>
      </c>
      <c r="K1994" t="s">
        <v>6</v>
      </c>
      <c r="L1994">
        <v>26</v>
      </c>
      <c r="M1994">
        <f t="shared" si="127"/>
        <v>0</v>
      </c>
    </row>
    <row r="1995" spans="1:13" x14ac:dyDescent="0.2">
      <c r="A1995" s="9">
        <v>44733</v>
      </c>
      <c r="B1995">
        <f t="shared" si="124"/>
        <v>21</v>
      </c>
      <c r="C1995">
        <f t="shared" si="125"/>
        <v>6</v>
      </c>
      <c r="D1995">
        <f t="shared" si="126"/>
        <v>2022</v>
      </c>
      <c r="E1995" s="11">
        <v>3.1309999999999998</v>
      </c>
      <c r="F1995" s="11">
        <v>101.54900000000001</v>
      </c>
      <c r="G1995" s="11">
        <v>27.4</v>
      </c>
      <c r="H1995" s="1" t="s">
        <v>0</v>
      </c>
      <c r="I1995">
        <v>11.4</v>
      </c>
      <c r="J1995">
        <v>33.799999999999997</v>
      </c>
      <c r="K1995" t="s">
        <v>6</v>
      </c>
      <c r="L1995">
        <v>28</v>
      </c>
      <c r="M1995">
        <f t="shared" si="127"/>
        <v>1</v>
      </c>
    </row>
    <row r="1996" spans="1:13" x14ac:dyDescent="0.2">
      <c r="A1996" s="9">
        <v>44734</v>
      </c>
      <c r="B1996">
        <f t="shared" si="124"/>
        <v>22</v>
      </c>
      <c r="C1996">
        <f t="shared" si="125"/>
        <v>6</v>
      </c>
      <c r="D1996">
        <f t="shared" si="126"/>
        <v>2022</v>
      </c>
      <c r="E1996" s="11">
        <v>3.1309999999999998</v>
      </c>
      <c r="F1996" s="11">
        <v>101.54900000000001</v>
      </c>
      <c r="G1996" s="11">
        <v>27.4</v>
      </c>
      <c r="H1996" s="1" t="s">
        <v>0</v>
      </c>
      <c r="I1996">
        <v>59.4</v>
      </c>
      <c r="J1996">
        <v>31</v>
      </c>
      <c r="K1996">
        <v>22</v>
      </c>
      <c r="L1996">
        <v>27.3</v>
      </c>
      <c r="M1996">
        <f t="shared" si="127"/>
        <v>1</v>
      </c>
    </row>
    <row r="1997" spans="1:13" x14ac:dyDescent="0.2">
      <c r="A1997" s="9">
        <v>44735</v>
      </c>
      <c r="B1997">
        <f t="shared" si="124"/>
        <v>23</v>
      </c>
      <c r="C1997">
        <f t="shared" si="125"/>
        <v>6</v>
      </c>
      <c r="D1997">
        <f t="shared" si="126"/>
        <v>2022</v>
      </c>
      <c r="E1997" s="11">
        <v>3.1309999999999998</v>
      </c>
      <c r="F1997" s="11">
        <v>101.54900000000001</v>
      </c>
      <c r="G1997" s="11">
        <v>27.4</v>
      </c>
      <c r="H1997" s="1" t="s">
        <v>0</v>
      </c>
      <c r="I1997">
        <v>24.6</v>
      </c>
      <c r="J1997">
        <v>32.1</v>
      </c>
      <c r="K1997" t="s">
        <v>6</v>
      </c>
      <c r="L1997">
        <v>27.4</v>
      </c>
      <c r="M1997">
        <f t="shared" si="127"/>
        <v>1</v>
      </c>
    </row>
    <row r="1998" spans="1:13" x14ac:dyDescent="0.2">
      <c r="A1998" s="9">
        <v>44736</v>
      </c>
      <c r="B1998">
        <f t="shared" si="124"/>
        <v>24</v>
      </c>
      <c r="C1998">
        <f t="shared" si="125"/>
        <v>6</v>
      </c>
      <c r="D1998">
        <f t="shared" si="126"/>
        <v>2022</v>
      </c>
      <c r="E1998" s="11">
        <v>3.1309999999999998</v>
      </c>
      <c r="F1998" s="11">
        <v>101.54900000000001</v>
      </c>
      <c r="G1998" s="11">
        <v>27.4</v>
      </c>
      <c r="H1998" s="1" t="s">
        <v>0</v>
      </c>
      <c r="I1998">
        <v>17.5</v>
      </c>
      <c r="J1998" t="s">
        <v>6</v>
      </c>
      <c r="K1998">
        <v>22.8</v>
      </c>
      <c r="L1998">
        <v>26.7</v>
      </c>
      <c r="M1998">
        <f t="shared" si="127"/>
        <v>1</v>
      </c>
    </row>
    <row r="1999" spans="1:13" x14ac:dyDescent="0.2">
      <c r="A1999" s="9">
        <v>44737</v>
      </c>
      <c r="B1999">
        <f t="shared" si="124"/>
        <v>25</v>
      </c>
      <c r="C1999">
        <f t="shared" si="125"/>
        <v>6</v>
      </c>
      <c r="D1999">
        <f t="shared" si="126"/>
        <v>2022</v>
      </c>
      <c r="E1999" s="11">
        <v>3.1309999999999998</v>
      </c>
      <c r="F1999" s="11">
        <v>101.54900000000001</v>
      </c>
      <c r="G1999" s="11">
        <v>27.4</v>
      </c>
      <c r="H1999" s="1" t="s">
        <v>0</v>
      </c>
      <c r="I1999">
        <v>4.0999999999999996</v>
      </c>
      <c r="J1999">
        <v>32.5</v>
      </c>
      <c r="K1999">
        <v>24</v>
      </c>
      <c r="L1999">
        <v>28.4</v>
      </c>
      <c r="M1999">
        <f t="shared" si="127"/>
        <v>1</v>
      </c>
    </row>
    <row r="2000" spans="1:13" x14ac:dyDescent="0.2">
      <c r="A2000" s="9">
        <v>44738</v>
      </c>
      <c r="B2000">
        <f t="shared" si="124"/>
        <v>26</v>
      </c>
      <c r="C2000">
        <f t="shared" si="125"/>
        <v>6</v>
      </c>
      <c r="D2000">
        <f t="shared" si="126"/>
        <v>2022</v>
      </c>
      <c r="E2000" s="11">
        <v>3.1309999999999998</v>
      </c>
      <c r="F2000" s="11">
        <v>101.54900000000001</v>
      </c>
      <c r="G2000" s="11">
        <v>27.4</v>
      </c>
      <c r="H2000" s="1" t="s">
        <v>0</v>
      </c>
      <c r="I2000">
        <v>0</v>
      </c>
      <c r="J2000">
        <v>33.299999999999997</v>
      </c>
      <c r="K2000">
        <v>24.9</v>
      </c>
      <c r="L2000">
        <v>28.4</v>
      </c>
      <c r="M2000">
        <f t="shared" si="127"/>
        <v>0</v>
      </c>
    </row>
    <row r="2001" spans="1:13" x14ac:dyDescent="0.2">
      <c r="A2001" s="9">
        <v>44739</v>
      </c>
      <c r="B2001">
        <f t="shared" si="124"/>
        <v>27</v>
      </c>
      <c r="C2001">
        <f t="shared" si="125"/>
        <v>6</v>
      </c>
      <c r="D2001">
        <f t="shared" si="126"/>
        <v>2022</v>
      </c>
      <c r="E2001" s="11">
        <v>3.1309999999999998</v>
      </c>
      <c r="F2001" s="11">
        <v>101.54900000000001</v>
      </c>
      <c r="G2001" s="11">
        <v>27.4</v>
      </c>
      <c r="H2001" s="1" t="s">
        <v>0</v>
      </c>
      <c r="I2001">
        <v>0</v>
      </c>
      <c r="J2001">
        <v>34.1</v>
      </c>
      <c r="K2001" t="s">
        <v>6</v>
      </c>
      <c r="L2001">
        <v>29.6</v>
      </c>
      <c r="M2001">
        <f t="shared" si="127"/>
        <v>0</v>
      </c>
    </row>
    <row r="2002" spans="1:13" x14ac:dyDescent="0.2">
      <c r="A2002" s="9">
        <v>44740</v>
      </c>
      <c r="B2002">
        <f t="shared" si="124"/>
        <v>28</v>
      </c>
      <c r="C2002">
        <f t="shared" si="125"/>
        <v>6</v>
      </c>
      <c r="D2002">
        <f t="shared" si="126"/>
        <v>2022</v>
      </c>
      <c r="E2002" s="11">
        <v>3.1309999999999998</v>
      </c>
      <c r="F2002" s="11">
        <v>101.54900000000001</v>
      </c>
      <c r="G2002" s="11">
        <v>27.4</v>
      </c>
      <c r="H2002" s="1" t="s">
        <v>0</v>
      </c>
      <c r="I2002">
        <v>8.9</v>
      </c>
      <c r="J2002">
        <v>32.1</v>
      </c>
      <c r="K2002">
        <v>24.3</v>
      </c>
      <c r="L2002">
        <v>28.1</v>
      </c>
      <c r="M2002">
        <f t="shared" si="127"/>
        <v>1</v>
      </c>
    </row>
    <row r="2003" spans="1:13" x14ac:dyDescent="0.2">
      <c r="A2003" s="9">
        <v>44741</v>
      </c>
      <c r="B2003">
        <f t="shared" si="124"/>
        <v>29</v>
      </c>
      <c r="C2003">
        <f t="shared" si="125"/>
        <v>6</v>
      </c>
      <c r="D2003">
        <f t="shared" si="126"/>
        <v>2022</v>
      </c>
      <c r="E2003" s="11">
        <v>3.1309999999999998</v>
      </c>
      <c r="F2003" s="11">
        <v>101.54900000000001</v>
      </c>
      <c r="G2003" s="11">
        <v>27.4</v>
      </c>
      <c r="H2003" s="1" t="s">
        <v>0</v>
      </c>
      <c r="I2003">
        <v>0</v>
      </c>
      <c r="J2003">
        <v>34</v>
      </c>
      <c r="K2003" t="s">
        <v>6</v>
      </c>
      <c r="L2003">
        <v>28.4</v>
      </c>
      <c r="M2003">
        <f t="shared" si="127"/>
        <v>0</v>
      </c>
    </row>
    <row r="2004" spans="1:13" x14ac:dyDescent="0.2">
      <c r="A2004" s="9">
        <v>44742</v>
      </c>
      <c r="B2004">
        <f t="shared" si="124"/>
        <v>30</v>
      </c>
      <c r="C2004">
        <f t="shared" si="125"/>
        <v>6</v>
      </c>
      <c r="D2004">
        <f t="shared" si="126"/>
        <v>2022</v>
      </c>
      <c r="E2004" s="11">
        <v>3.1309999999999998</v>
      </c>
      <c r="F2004" s="11">
        <v>101.54900000000001</v>
      </c>
      <c r="G2004" s="11">
        <v>27.4</v>
      </c>
      <c r="H2004" s="1" t="s">
        <v>0</v>
      </c>
      <c r="I2004">
        <v>7.9</v>
      </c>
      <c r="J2004">
        <v>34.200000000000003</v>
      </c>
      <c r="K2004">
        <v>23.7</v>
      </c>
      <c r="L2004">
        <v>29.1</v>
      </c>
      <c r="M2004">
        <f t="shared" si="127"/>
        <v>1</v>
      </c>
    </row>
    <row r="2005" spans="1:13" x14ac:dyDescent="0.2">
      <c r="A2005" s="9">
        <v>44743</v>
      </c>
      <c r="B2005">
        <f t="shared" si="124"/>
        <v>1</v>
      </c>
      <c r="C2005">
        <f t="shared" si="125"/>
        <v>7</v>
      </c>
      <c r="D2005">
        <f t="shared" si="126"/>
        <v>2022</v>
      </c>
      <c r="E2005" s="11">
        <v>3.1309999999999998</v>
      </c>
      <c r="F2005" s="11">
        <v>101.54900000000001</v>
      </c>
      <c r="G2005" s="11">
        <v>27.4</v>
      </c>
      <c r="H2005" s="1" t="s">
        <v>0</v>
      </c>
      <c r="I2005">
        <v>0</v>
      </c>
      <c r="J2005" t="s">
        <v>6</v>
      </c>
      <c r="K2005">
        <v>24.7</v>
      </c>
      <c r="L2005">
        <v>29.2</v>
      </c>
      <c r="M2005">
        <f t="shared" si="127"/>
        <v>0</v>
      </c>
    </row>
    <row r="2006" spans="1:13" x14ac:dyDescent="0.2">
      <c r="A2006" s="9">
        <v>44744</v>
      </c>
      <c r="B2006">
        <f t="shared" si="124"/>
        <v>2</v>
      </c>
      <c r="C2006">
        <f t="shared" si="125"/>
        <v>7</v>
      </c>
      <c r="D2006">
        <f t="shared" si="126"/>
        <v>2022</v>
      </c>
      <c r="E2006" s="11">
        <v>3.1309999999999998</v>
      </c>
      <c r="F2006" s="11">
        <v>101.54900000000001</v>
      </c>
      <c r="G2006" s="11">
        <v>27.4</v>
      </c>
      <c r="H2006" s="1" t="s">
        <v>0</v>
      </c>
      <c r="I2006">
        <v>0</v>
      </c>
      <c r="J2006">
        <v>33.299999999999997</v>
      </c>
      <c r="K2006">
        <v>25.2</v>
      </c>
      <c r="L2006">
        <v>29.9</v>
      </c>
      <c r="M2006">
        <f t="shared" si="127"/>
        <v>0</v>
      </c>
    </row>
    <row r="2007" spans="1:13" x14ac:dyDescent="0.2">
      <c r="A2007" s="9">
        <v>44745</v>
      </c>
      <c r="B2007">
        <f t="shared" si="124"/>
        <v>3</v>
      </c>
      <c r="C2007">
        <f t="shared" si="125"/>
        <v>7</v>
      </c>
      <c r="D2007">
        <f t="shared" si="126"/>
        <v>2022</v>
      </c>
      <c r="E2007" s="11">
        <v>3.1309999999999998</v>
      </c>
      <c r="F2007" s="11">
        <v>101.54900000000001</v>
      </c>
      <c r="G2007" s="11">
        <v>27.4</v>
      </c>
      <c r="H2007" s="1" t="s">
        <v>0</v>
      </c>
      <c r="I2007">
        <v>0</v>
      </c>
      <c r="J2007" t="s">
        <v>6</v>
      </c>
      <c r="K2007">
        <v>25.6</v>
      </c>
      <c r="L2007">
        <v>29.4</v>
      </c>
      <c r="M2007">
        <f t="shared" si="127"/>
        <v>0</v>
      </c>
    </row>
    <row r="2008" spans="1:13" x14ac:dyDescent="0.2">
      <c r="A2008" s="9">
        <v>44746</v>
      </c>
      <c r="B2008">
        <f t="shared" si="124"/>
        <v>4</v>
      </c>
      <c r="C2008">
        <f t="shared" si="125"/>
        <v>7</v>
      </c>
      <c r="D2008">
        <f t="shared" si="126"/>
        <v>2022</v>
      </c>
      <c r="E2008" s="11">
        <v>3.1309999999999998</v>
      </c>
      <c r="F2008" s="11">
        <v>101.54900000000001</v>
      </c>
      <c r="G2008" s="11">
        <v>27.4</v>
      </c>
      <c r="H2008" s="1" t="s">
        <v>0</v>
      </c>
      <c r="I2008">
        <v>0</v>
      </c>
      <c r="J2008">
        <v>34.200000000000003</v>
      </c>
      <c r="K2008">
        <v>25.9</v>
      </c>
      <c r="L2008">
        <v>30.1</v>
      </c>
      <c r="M2008">
        <f t="shared" si="127"/>
        <v>0</v>
      </c>
    </row>
    <row r="2009" spans="1:13" x14ac:dyDescent="0.2">
      <c r="A2009" s="9">
        <v>44747</v>
      </c>
      <c r="B2009">
        <f t="shared" si="124"/>
        <v>5</v>
      </c>
      <c r="C2009">
        <f t="shared" si="125"/>
        <v>7</v>
      </c>
      <c r="D2009">
        <f t="shared" si="126"/>
        <v>2022</v>
      </c>
      <c r="E2009" s="11">
        <v>3.1309999999999998</v>
      </c>
      <c r="F2009" s="11">
        <v>101.54900000000001</v>
      </c>
      <c r="G2009" s="11">
        <v>27.4</v>
      </c>
      <c r="H2009" s="1" t="s">
        <v>0</v>
      </c>
      <c r="I2009">
        <v>0</v>
      </c>
      <c r="J2009" t="s">
        <v>6</v>
      </c>
      <c r="K2009">
        <v>26.1</v>
      </c>
      <c r="L2009">
        <v>30.1</v>
      </c>
      <c r="M2009">
        <f t="shared" si="127"/>
        <v>0</v>
      </c>
    </row>
    <row r="2010" spans="1:13" x14ac:dyDescent="0.2">
      <c r="A2010" s="9">
        <v>44748</v>
      </c>
      <c r="B2010">
        <f t="shared" si="124"/>
        <v>6</v>
      </c>
      <c r="C2010">
        <f t="shared" si="125"/>
        <v>7</v>
      </c>
      <c r="D2010">
        <f t="shared" si="126"/>
        <v>2022</v>
      </c>
      <c r="E2010" s="11">
        <v>3.1309999999999998</v>
      </c>
      <c r="F2010" s="11">
        <v>101.54900000000001</v>
      </c>
      <c r="G2010" s="11">
        <v>27.4</v>
      </c>
      <c r="H2010" s="1" t="s">
        <v>0</v>
      </c>
      <c r="I2010">
        <v>0</v>
      </c>
      <c r="J2010">
        <v>31.5</v>
      </c>
      <c r="K2010" t="s">
        <v>6</v>
      </c>
      <c r="L2010">
        <v>27.4</v>
      </c>
      <c r="M2010">
        <f t="shared" si="127"/>
        <v>0</v>
      </c>
    </row>
    <row r="2011" spans="1:13" x14ac:dyDescent="0.2">
      <c r="A2011" s="9">
        <v>44749</v>
      </c>
      <c r="B2011">
        <f t="shared" si="124"/>
        <v>7</v>
      </c>
      <c r="C2011">
        <f t="shared" si="125"/>
        <v>7</v>
      </c>
      <c r="D2011">
        <f t="shared" si="126"/>
        <v>2022</v>
      </c>
      <c r="E2011" s="11">
        <v>3.1309999999999998</v>
      </c>
      <c r="F2011" s="11">
        <v>101.54900000000001</v>
      </c>
      <c r="G2011" s="11">
        <v>27.4</v>
      </c>
      <c r="H2011" s="1" t="s">
        <v>0</v>
      </c>
      <c r="I2011">
        <v>0</v>
      </c>
      <c r="J2011">
        <v>34.4</v>
      </c>
      <c r="K2011">
        <v>25.5</v>
      </c>
      <c r="L2011">
        <v>29.7</v>
      </c>
      <c r="M2011">
        <f t="shared" si="127"/>
        <v>0</v>
      </c>
    </row>
    <row r="2012" spans="1:13" x14ac:dyDescent="0.2">
      <c r="A2012" s="9">
        <v>44750</v>
      </c>
      <c r="B2012">
        <f t="shared" si="124"/>
        <v>8</v>
      </c>
      <c r="C2012">
        <f t="shared" si="125"/>
        <v>7</v>
      </c>
      <c r="D2012">
        <f t="shared" si="126"/>
        <v>2022</v>
      </c>
      <c r="E2012" s="11">
        <v>3.1309999999999998</v>
      </c>
      <c r="F2012" s="11">
        <v>101.54900000000001</v>
      </c>
      <c r="G2012" s="11">
        <v>27.4</v>
      </c>
      <c r="H2012" s="1" t="s">
        <v>0</v>
      </c>
      <c r="I2012">
        <v>0</v>
      </c>
      <c r="J2012">
        <v>33.799999999999997</v>
      </c>
      <c r="K2012">
        <v>25.7</v>
      </c>
      <c r="L2012">
        <v>29.7</v>
      </c>
      <c r="M2012">
        <f t="shared" si="127"/>
        <v>0</v>
      </c>
    </row>
    <row r="2013" spans="1:13" x14ac:dyDescent="0.2">
      <c r="A2013" s="9">
        <v>44751</v>
      </c>
      <c r="B2013">
        <f t="shared" si="124"/>
        <v>9</v>
      </c>
      <c r="C2013">
        <f t="shared" si="125"/>
        <v>7</v>
      </c>
      <c r="D2013">
        <f t="shared" si="126"/>
        <v>2022</v>
      </c>
      <c r="E2013" s="11">
        <v>3.1309999999999998</v>
      </c>
      <c r="F2013" s="11">
        <v>101.54900000000001</v>
      </c>
      <c r="G2013" s="11">
        <v>27.4</v>
      </c>
      <c r="H2013" s="1" t="s">
        <v>0</v>
      </c>
      <c r="I2013">
        <v>0</v>
      </c>
      <c r="J2013">
        <v>36.5</v>
      </c>
      <c r="K2013">
        <v>26.5</v>
      </c>
      <c r="L2013">
        <v>30.7</v>
      </c>
      <c r="M2013">
        <f t="shared" si="127"/>
        <v>0</v>
      </c>
    </row>
    <row r="2014" spans="1:13" x14ac:dyDescent="0.2">
      <c r="A2014" s="9">
        <v>44752</v>
      </c>
      <c r="B2014">
        <f t="shared" si="124"/>
        <v>10</v>
      </c>
      <c r="C2014">
        <f t="shared" si="125"/>
        <v>7</v>
      </c>
      <c r="D2014">
        <f t="shared" si="126"/>
        <v>2022</v>
      </c>
      <c r="E2014" s="11">
        <v>3.1309999999999998</v>
      </c>
      <c r="F2014" s="11">
        <v>101.54900000000001</v>
      </c>
      <c r="G2014" s="11">
        <v>27.4</v>
      </c>
      <c r="H2014" s="1" t="s">
        <v>0</v>
      </c>
      <c r="I2014">
        <v>0</v>
      </c>
      <c r="J2014">
        <v>35.1</v>
      </c>
      <c r="K2014" t="s">
        <v>6</v>
      </c>
      <c r="L2014">
        <v>29.8</v>
      </c>
      <c r="M2014">
        <f t="shared" si="127"/>
        <v>0</v>
      </c>
    </row>
    <row r="2015" spans="1:13" x14ac:dyDescent="0.2">
      <c r="A2015" s="9">
        <v>44753</v>
      </c>
      <c r="B2015">
        <f t="shared" si="124"/>
        <v>11</v>
      </c>
      <c r="C2015">
        <f t="shared" si="125"/>
        <v>7</v>
      </c>
      <c r="D2015">
        <f t="shared" si="126"/>
        <v>2022</v>
      </c>
      <c r="E2015" s="11">
        <v>3.1309999999999998</v>
      </c>
      <c r="F2015" s="11">
        <v>101.54900000000001</v>
      </c>
      <c r="G2015" s="11">
        <v>27.4</v>
      </c>
      <c r="H2015" s="1" t="s">
        <v>0</v>
      </c>
      <c r="I2015">
        <v>0.3</v>
      </c>
      <c r="J2015">
        <v>32</v>
      </c>
      <c r="K2015" t="s">
        <v>6</v>
      </c>
      <c r="L2015">
        <v>28.4</v>
      </c>
      <c r="M2015">
        <f t="shared" si="127"/>
        <v>1</v>
      </c>
    </row>
    <row r="2016" spans="1:13" x14ac:dyDescent="0.2">
      <c r="A2016" s="9">
        <v>44754</v>
      </c>
      <c r="B2016">
        <f t="shared" si="124"/>
        <v>12</v>
      </c>
      <c r="C2016">
        <f t="shared" si="125"/>
        <v>7</v>
      </c>
      <c r="D2016">
        <f t="shared" si="126"/>
        <v>2022</v>
      </c>
      <c r="E2016" s="11">
        <v>3.1309999999999998</v>
      </c>
      <c r="F2016" s="11">
        <v>101.54900000000001</v>
      </c>
      <c r="G2016" s="11">
        <v>27.4</v>
      </c>
      <c r="H2016" s="1" t="s">
        <v>0</v>
      </c>
      <c r="I2016">
        <v>0.5</v>
      </c>
      <c r="J2016">
        <v>31.5</v>
      </c>
      <c r="K2016" t="s">
        <v>6</v>
      </c>
      <c r="L2016">
        <v>26.4</v>
      </c>
      <c r="M2016">
        <f t="shared" si="127"/>
        <v>1</v>
      </c>
    </row>
    <row r="2017" spans="1:13" x14ac:dyDescent="0.2">
      <c r="A2017" s="9">
        <v>44755</v>
      </c>
      <c r="B2017">
        <f t="shared" si="124"/>
        <v>13</v>
      </c>
      <c r="C2017">
        <f t="shared" si="125"/>
        <v>7</v>
      </c>
      <c r="D2017">
        <f t="shared" si="126"/>
        <v>2022</v>
      </c>
      <c r="E2017" s="11">
        <v>3.1309999999999998</v>
      </c>
      <c r="F2017" s="11">
        <v>101.54900000000001</v>
      </c>
      <c r="G2017" s="11">
        <v>27.4</v>
      </c>
      <c r="H2017" s="1" t="s">
        <v>0</v>
      </c>
      <c r="I2017">
        <v>4.8</v>
      </c>
      <c r="J2017">
        <v>34.200000000000003</v>
      </c>
      <c r="K2017">
        <v>24.6</v>
      </c>
      <c r="L2017">
        <v>28.9</v>
      </c>
      <c r="M2017">
        <f t="shared" si="127"/>
        <v>1</v>
      </c>
    </row>
    <row r="2018" spans="1:13" x14ac:dyDescent="0.2">
      <c r="A2018" s="9">
        <v>44756</v>
      </c>
      <c r="B2018">
        <f t="shared" si="124"/>
        <v>14</v>
      </c>
      <c r="C2018">
        <f t="shared" si="125"/>
        <v>7</v>
      </c>
      <c r="D2018">
        <f t="shared" si="126"/>
        <v>2022</v>
      </c>
      <c r="E2018" s="11">
        <v>3.1309999999999998</v>
      </c>
      <c r="F2018" s="11">
        <v>101.54900000000001</v>
      </c>
      <c r="G2018" s="11">
        <v>27.4</v>
      </c>
      <c r="H2018" s="1" t="s">
        <v>0</v>
      </c>
      <c r="I2018">
        <v>0</v>
      </c>
      <c r="J2018">
        <v>34.200000000000003</v>
      </c>
      <c r="K2018">
        <v>25.1</v>
      </c>
      <c r="L2018">
        <v>29.4</v>
      </c>
      <c r="M2018">
        <f t="shared" si="127"/>
        <v>0</v>
      </c>
    </row>
    <row r="2019" spans="1:13" x14ac:dyDescent="0.2">
      <c r="A2019" s="9">
        <v>44757</v>
      </c>
      <c r="B2019">
        <f t="shared" si="124"/>
        <v>15</v>
      </c>
      <c r="C2019">
        <f t="shared" si="125"/>
        <v>7</v>
      </c>
      <c r="D2019">
        <f t="shared" si="126"/>
        <v>2022</v>
      </c>
      <c r="E2019" s="11">
        <v>3.1309999999999998</v>
      </c>
      <c r="F2019" s="11">
        <v>101.54900000000001</v>
      </c>
      <c r="G2019" s="11">
        <v>27.4</v>
      </c>
      <c r="H2019" s="1" t="s">
        <v>0</v>
      </c>
      <c r="I2019">
        <v>0</v>
      </c>
      <c r="J2019" t="s">
        <v>6</v>
      </c>
      <c r="K2019" t="s">
        <v>6</v>
      </c>
      <c r="L2019">
        <v>29.2</v>
      </c>
      <c r="M2019">
        <f t="shared" si="127"/>
        <v>0</v>
      </c>
    </row>
    <row r="2020" spans="1:13" x14ac:dyDescent="0.2">
      <c r="A2020" s="9">
        <v>44758</v>
      </c>
      <c r="B2020">
        <f t="shared" si="124"/>
        <v>16</v>
      </c>
      <c r="C2020">
        <f t="shared" si="125"/>
        <v>7</v>
      </c>
      <c r="D2020">
        <f t="shared" si="126"/>
        <v>2022</v>
      </c>
      <c r="E2020" s="11">
        <v>3.1309999999999998</v>
      </c>
      <c r="F2020" s="11">
        <v>101.54900000000001</v>
      </c>
      <c r="G2020" s="11">
        <v>27.4</v>
      </c>
      <c r="H2020" s="1" t="s">
        <v>0</v>
      </c>
      <c r="I2020">
        <v>0</v>
      </c>
      <c r="J2020" t="s">
        <v>6</v>
      </c>
      <c r="K2020">
        <v>25.3</v>
      </c>
      <c r="L2020">
        <v>29.7</v>
      </c>
      <c r="M2020">
        <f t="shared" si="127"/>
        <v>0</v>
      </c>
    </row>
    <row r="2021" spans="1:13" x14ac:dyDescent="0.2">
      <c r="A2021" s="9">
        <v>44759</v>
      </c>
      <c r="B2021">
        <f t="shared" si="124"/>
        <v>17</v>
      </c>
      <c r="C2021">
        <f t="shared" si="125"/>
        <v>7</v>
      </c>
      <c r="D2021">
        <f t="shared" si="126"/>
        <v>2022</v>
      </c>
      <c r="E2021" s="11">
        <v>3.1309999999999998</v>
      </c>
      <c r="F2021" s="11">
        <v>101.54900000000001</v>
      </c>
      <c r="G2021" s="11">
        <v>27.4</v>
      </c>
      <c r="H2021" s="1" t="s">
        <v>0</v>
      </c>
      <c r="I2021">
        <v>0</v>
      </c>
      <c r="J2021" t="s">
        <v>6</v>
      </c>
      <c r="K2021">
        <v>26</v>
      </c>
      <c r="L2021">
        <v>30.8</v>
      </c>
      <c r="M2021">
        <f t="shared" si="127"/>
        <v>0</v>
      </c>
    </row>
    <row r="2022" spans="1:13" x14ac:dyDescent="0.2">
      <c r="A2022" s="9">
        <v>44760</v>
      </c>
      <c r="B2022">
        <f t="shared" si="124"/>
        <v>18</v>
      </c>
      <c r="C2022">
        <f t="shared" si="125"/>
        <v>7</v>
      </c>
      <c r="D2022">
        <f t="shared" si="126"/>
        <v>2022</v>
      </c>
      <c r="E2022" s="11">
        <v>3.1309999999999998</v>
      </c>
      <c r="F2022" s="11">
        <v>101.54900000000001</v>
      </c>
      <c r="G2022" s="11">
        <v>27.4</v>
      </c>
      <c r="H2022" s="1" t="s">
        <v>0</v>
      </c>
      <c r="I2022">
        <v>0</v>
      </c>
      <c r="J2022">
        <v>35.200000000000003</v>
      </c>
      <c r="K2022">
        <v>27.2</v>
      </c>
      <c r="L2022">
        <v>30.2</v>
      </c>
      <c r="M2022">
        <f t="shared" si="127"/>
        <v>0</v>
      </c>
    </row>
    <row r="2023" spans="1:13" x14ac:dyDescent="0.2">
      <c r="A2023" s="9">
        <v>44761</v>
      </c>
      <c r="B2023">
        <f t="shared" si="124"/>
        <v>19</v>
      </c>
      <c r="C2023">
        <f t="shared" si="125"/>
        <v>7</v>
      </c>
      <c r="D2023">
        <f t="shared" si="126"/>
        <v>2022</v>
      </c>
      <c r="E2023" s="11">
        <v>3.1309999999999998</v>
      </c>
      <c r="F2023" s="11">
        <v>101.54900000000001</v>
      </c>
      <c r="G2023" s="11">
        <v>27.4</v>
      </c>
      <c r="H2023" s="1" t="s">
        <v>0</v>
      </c>
      <c r="I2023" t="s">
        <v>6</v>
      </c>
      <c r="J2023" t="s">
        <v>6</v>
      </c>
      <c r="K2023" t="s">
        <v>6</v>
      </c>
      <c r="L2023">
        <v>29</v>
      </c>
      <c r="M2023" t="str">
        <f t="shared" si="127"/>
        <v/>
      </c>
    </row>
    <row r="2024" spans="1:13" x14ac:dyDescent="0.2">
      <c r="A2024" s="9">
        <v>44762</v>
      </c>
      <c r="B2024">
        <f t="shared" si="124"/>
        <v>20</v>
      </c>
      <c r="C2024">
        <f t="shared" si="125"/>
        <v>7</v>
      </c>
      <c r="D2024">
        <f t="shared" si="126"/>
        <v>2022</v>
      </c>
      <c r="E2024" s="11">
        <v>3.1309999999999998</v>
      </c>
      <c r="F2024" s="11">
        <v>101.54900000000001</v>
      </c>
      <c r="G2024" s="11">
        <v>27.4</v>
      </c>
      <c r="H2024" s="1" t="s">
        <v>0</v>
      </c>
      <c r="I2024" t="s">
        <v>6</v>
      </c>
      <c r="J2024">
        <v>33.299999999999997</v>
      </c>
      <c r="K2024" t="s">
        <v>6</v>
      </c>
      <c r="L2024">
        <v>28.7</v>
      </c>
      <c r="M2024" t="str">
        <f t="shared" si="127"/>
        <v/>
      </c>
    </row>
    <row r="2025" spans="1:13" x14ac:dyDescent="0.2">
      <c r="A2025" s="9">
        <v>44763</v>
      </c>
      <c r="B2025">
        <f t="shared" si="124"/>
        <v>21</v>
      </c>
      <c r="C2025">
        <f t="shared" si="125"/>
        <v>7</v>
      </c>
      <c r="D2025">
        <f t="shared" si="126"/>
        <v>2022</v>
      </c>
      <c r="E2025" s="11">
        <v>3.1309999999999998</v>
      </c>
      <c r="F2025" s="11">
        <v>101.54900000000001</v>
      </c>
      <c r="G2025" s="11">
        <v>27.4</v>
      </c>
      <c r="H2025" s="1" t="s">
        <v>0</v>
      </c>
      <c r="I2025">
        <v>0</v>
      </c>
      <c r="J2025" t="s">
        <v>6</v>
      </c>
      <c r="K2025" t="s">
        <v>6</v>
      </c>
      <c r="L2025">
        <v>28.6</v>
      </c>
      <c r="M2025">
        <f t="shared" si="127"/>
        <v>0</v>
      </c>
    </row>
    <row r="2026" spans="1:13" x14ac:dyDescent="0.2">
      <c r="A2026" s="9">
        <v>44764</v>
      </c>
      <c r="B2026">
        <f t="shared" si="124"/>
        <v>22</v>
      </c>
      <c r="C2026">
        <f t="shared" si="125"/>
        <v>7</v>
      </c>
      <c r="D2026">
        <f t="shared" si="126"/>
        <v>2022</v>
      </c>
      <c r="E2026" s="11">
        <v>3.1309999999999998</v>
      </c>
      <c r="F2026" s="11">
        <v>101.54900000000001</v>
      </c>
      <c r="G2026" s="11">
        <v>27.4</v>
      </c>
      <c r="H2026" s="1" t="s">
        <v>0</v>
      </c>
      <c r="I2026">
        <v>5.0999999999999996</v>
      </c>
      <c r="J2026">
        <v>35.4</v>
      </c>
      <c r="K2026" t="s">
        <v>6</v>
      </c>
      <c r="L2026">
        <v>27.7</v>
      </c>
      <c r="M2026">
        <f t="shared" si="127"/>
        <v>1</v>
      </c>
    </row>
    <row r="2027" spans="1:13" x14ac:dyDescent="0.2">
      <c r="A2027" s="9">
        <v>44765</v>
      </c>
      <c r="B2027">
        <f t="shared" si="124"/>
        <v>23</v>
      </c>
      <c r="C2027">
        <f t="shared" si="125"/>
        <v>7</v>
      </c>
      <c r="D2027">
        <f t="shared" si="126"/>
        <v>2022</v>
      </c>
      <c r="E2027" s="11">
        <v>3.1309999999999998</v>
      </c>
      <c r="F2027" s="11">
        <v>101.54900000000001</v>
      </c>
      <c r="G2027" s="11">
        <v>27.4</v>
      </c>
      <c r="H2027" s="1" t="s">
        <v>0</v>
      </c>
      <c r="I2027">
        <v>16.5</v>
      </c>
      <c r="J2027">
        <v>34.4</v>
      </c>
      <c r="K2027">
        <v>24</v>
      </c>
      <c r="L2027">
        <v>27.7</v>
      </c>
      <c r="M2027">
        <f t="shared" si="127"/>
        <v>1</v>
      </c>
    </row>
    <row r="2028" spans="1:13" x14ac:dyDescent="0.2">
      <c r="A2028" s="9">
        <v>44766</v>
      </c>
      <c r="B2028">
        <f t="shared" si="124"/>
        <v>24</v>
      </c>
      <c r="C2028">
        <f t="shared" si="125"/>
        <v>7</v>
      </c>
      <c r="D2028">
        <f t="shared" si="126"/>
        <v>2022</v>
      </c>
      <c r="E2028" s="11">
        <v>3.1309999999999998</v>
      </c>
      <c r="F2028" s="11">
        <v>101.54900000000001</v>
      </c>
      <c r="G2028" s="11">
        <v>27.4</v>
      </c>
      <c r="H2028" s="1" t="s">
        <v>0</v>
      </c>
      <c r="I2028">
        <v>12.4</v>
      </c>
      <c r="J2028">
        <v>32.4</v>
      </c>
      <c r="K2028">
        <v>24.3</v>
      </c>
      <c r="L2028">
        <v>26.9</v>
      </c>
      <c r="M2028">
        <f t="shared" si="127"/>
        <v>1</v>
      </c>
    </row>
    <row r="2029" spans="1:13" x14ac:dyDescent="0.2">
      <c r="A2029" s="9">
        <v>44767</v>
      </c>
      <c r="B2029">
        <f t="shared" si="124"/>
        <v>25</v>
      </c>
      <c r="C2029">
        <f t="shared" si="125"/>
        <v>7</v>
      </c>
      <c r="D2029">
        <f t="shared" si="126"/>
        <v>2022</v>
      </c>
      <c r="E2029" s="11">
        <v>3.1309999999999998</v>
      </c>
      <c r="F2029" s="11">
        <v>101.54900000000001</v>
      </c>
      <c r="G2029" s="11">
        <v>27.4</v>
      </c>
      <c r="H2029" s="1" t="s">
        <v>0</v>
      </c>
      <c r="I2029">
        <v>30.5</v>
      </c>
      <c r="J2029">
        <v>31.9</v>
      </c>
      <c r="K2029">
        <v>25</v>
      </c>
      <c r="L2029">
        <v>27.3</v>
      </c>
      <c r="M2029">
        <f t="shared" si="127"/>
        <v>1</v>
      </c>
    </row>
    <row r="2030" spans="1:13" x14ac:dyDescent="0.2">
      <c r="A2030" s="9">
        <v>44768</v>
      </c>
      <c r="B2030">
        <f t="shared" si="124"/>
        <v>26</v>
      </c>
      <c r="C2030">
        <f t="shared" si="125"/>
        <v>7</v>
      </c>
      <c r="D2030">
        <f t="shared" si="126"/>
        <v>2022</v>
      </c>
      <c r="E2030" s="11">
        <v>3.1309999999999998</v>
      </c>
      <c r="F2030" s="11">
        <v>101.54900000000001</v>
      </c>
      <c r="G2030" s="11">
        <v>27.4</v>
      </c>
      <c r="H2030" s="1" t="s">
        <v>0</v>
      </c>
      <c r="I2030">
        <v>0.8</v>
      </c>
      <c r="J2030">
        <v>34.200000000000003</v>
      </c>
      <c r="K2030">
        <v>24.6</v>
      </c>
      <c r="L2030">
        <v>29.5</v>
      </c>
      <c r="M2030">
        <f t="shared" si="127"/>
        <v>1</v>
      </c>
    </row>
    <row r="2031" spans="1:13" x14ac:dyDescent="0.2">
      <c r="A2031" s="9">
        <v>44769</v>
      </c>
      <c r="B2031">
        <f t="shared" si="124"/>
        <v>27</v>
      </c>
      <c r="C2031">
        <f t="shared" si="125"/>
        <v>7</v>
      </c>
      <c r="D2031">
        <f t="shared" si="126"/>
        <v>2022</v>
      </c>
      <c r="E2031" s="11">
        <v>3.1309999999999998</v>
      </c>
      <c r="F2031" s="11">
        <v>101.54900000000001</v>
      </c>
      <c r="G2031" s="11">
        <v>27.4</v>
      </c>
      <c r="H2031" s="1" t="s">
        <v>0</v>
      </c>
      <c r="I2031">
        <v>0</v>
      </c>
      <c r="J2031">
        <v>31.8</v>
      </c>
      <c r="K2031" t="s">
        <v>6</v>
      </c>
      <c r="L2031">
        <v>27.5</v>
      </c>
      <c r="M2031">
        <f t="shared" si="127"/>
        <v>0</v>
      </c>
    </row>
    <row r="2032" spans="1:13" x14ac:dyDescent="0.2">
      <c r="A2032" s="9">
        <v>44770</v>
      </c>
      <c r="B2032">
        <f t="shared" si="124"/>
        <v>28</v>
      </c>
      <c r="C2032">
        <f t="shared" si="125"/>
        <v>7</v>
      </c>
      <c r="D2032">
        <f t="shared" si="126"/>
        <v>2022</v>
      </c>
      <c r="E2032" s="11">
        <v>3.1309999999999998</v>
      </c>
      <c r="F2032" s="11">
        <v>101.54900000000001</v>
      </c>
      <c r="G2032" s="11">
        <v>27.4</v>
      </c>
      <c r="H2032" s="1" t="s">
        <v>0</v>
      </c>
      <c r="I2032">
        <v>0</v>
      </c>
      <c r="J2032">
        <v>32</v>
      </c>
      <c r="K2032" t="s">
        <v>6</v>
      </c>
      <c r="L2032">
        <v>28.1</v>
      </c>
      <c r="M2032">
        <f t="shared" si="127"/>
        <v>0</v>
      </c>
    </row>
    <row r="2033" spans="1:13" x14ac:dyDescent="0.2">
      <c r="A2033" s="9">
        <v>44771</v>
      </c>
      <c r="B2033">
        <f t="shared" si="124"/>
        <v>29</v>
      </c>
      <c r="C2033">
        <f t="shared" si="125"/>
        <v>7</v>
      </c>
      <c r="D2033">
        <f t="shared" si="126"/>
        <v>2022</v>
      </c>
      <c r="E2033" s="11">
        <v>3.1309999999999998</v>
      </c>
      <c r="F2033" s="11">
        <v>101.54900000000001</v>
      </c>
      <c r="G2033" s="11">
        <v>27.4</v>
      </c>
      <c r="H2033" s="1" t="s">
        <v>0</v>
      </c>
      <c r="I2033">
        <v>23.9</v>
      </c>
      <c r="J2033">
        <v>30.6</v>
      </c>
      <c r="K2033">
        <v>22.8</v>
      </c>
      <c r="L2033">
        <v>26.7</v>
      </c>
      <c r="M2033">
        <f t="shared" si="127"/>
        <v>1</v>
      </c>
    </row>
    <row r="2034" spans="1:13" x14ac:dyDescent="0.2">
      <c r="A2034" s="9">
        <v>44772</v>
      </c>
      <c r="B2034">
        <f t="shared" si="124"/>
        <v>30</v>
      </c>
      <c r="C2034">
        <f t="shared" si="125"/>
        <v>7</v>
      </c>
      <c r="D2034">
        <f t="shared" si="126"/>
        <v>2022</v>
      </c>
      <c r="E2034" s="11">
        <v>3.1309999999999998</v>
      </c>
      <c r="F2034" s="11">
        <v>101.54900000000001</v>
      </c>
      <c r="G2034" s="11">
        <v>27.4</v>
      </c>
      <c r="H2034" s="1" t="s">
        <v>0</v>
      </c>
      <c r="I2034">
        <v>9.4</v>
      </c>
      <c r="J2034" t="s">
        <v>6</v>
      </c>
      <c r="K2034">
        <v>22.9</v>
      </c>
      <c r="L2034">
        <v>29.3</v>
      </c>
      <c r="M2034">
        <f t="shared" si="127"/>
        <v>1</v>
      </c>
    </row>
    <row r="2035" spans="1:13" x14ac:dyDescent="0.2">
      <c r="A2035" s="9">
        <v>44773</v>
      </c>
      <c r="B2035">
        <f t="shared" si="124"/>
        <v>31</v>
      </c>
      <c r="C2035">
        <f t="shared" si="125"/>
        <v>7</v>
      </c>
      <c r="D2035">
        <f t="shared" si="126"/>
        <v>2022</v>
      </c>
      <c r="E2035" s="11">
        <v>3.1309999999999998</v>
      </c>
      <c r="F2035" s="11">
        <v>101.54900000000001</v>
      </c>
      <c r="G2035" s="11">
        <v>27.4</v>
      </c>
      <c r="H2035" s="1" t="s">
        <v>0</v>
      </c>
      <c r="I2035">
        <v>0</v>
      </c>
      <c r="J2035" t="s">
        <v>6</v>
      </c>
      <c r="K2035" t="s">
        <v>6</v>
      </c>
      <c r="L2035">
        <v>28.4</v>
      </c>
      <c r="M2035">
        <f t="shared" si="127"/>
        <v>0</v>
      </c>
    </row>
    <row r="2036" spans="1:13" x14ac:dyDescent="0.2">
      <c r="A2036" s="9">
        <v>44774</v>
      </c>
      <c r="B2036">
        <f t="shared" si="124"/>
        <v>1</v>
      </c>
      <c r="C2036">
        <f t="shared" si="125"/>
        <v>8</v>
      </c>
      <c r="D2036">
        <f t="shared" si="126"/>
        <v>2022</v>
      </c>
      <c r="E2036" s="11">
        <v>3.1309999999999998</v>
      </c>
      <c r="F2036" s="11">
        <v>101.54900000000001</v>
      </c>
      <c r="G2036" s="11">
        <v>27.4</v>
      </c>
      <c r="H2036" s="1" t="s">
        <v>0</v>
      </c>
      <c r="I2036">
        <v>0</v>
      </c>
      <c r="J2036">
        <v>35.1</v>
      </c>
      <c r="K2036">
        <v>24.8</v>
      </c>
      <c r="L2036">
        <v>29.1</v>
      </c>
      <c r="M2036">
        <f t="shared" si="127"/>
        <v>0</v>
      </c>
    </row>
    <row r="2037" spans="1:13" x14ac:dyDescent="0.2">
      <c r="A2037" s="9">
        <v>44775</v>
      </c>
      <c r="B2037">
        <f t="shared" si="124"/>
        <v>2</v>
      </c>
      <c r="C2037">
        <f t="shared" si="125"/>
        <v>8</v>
      </c>
      <c r="D2037">
        <f t="shared" si="126"/>
        <v>2022</v>
      </c>
      <c r="E2037" s="11">
        <v>3.1309999999999998</v>
      </c>
      <c r="F2037" s="11">
        <v>101.54900000000001</v>
      </c>
      <c r="G2037" s="11">
        <v>27.4</v>
      </c>
      <c r="H2037" s="1" t="s">
        <v>0</v>
      </c>
      <c r="I2037">
        <v>1.8</v>
      </c>
      <c r="J2037">
        <v>31.8</v>
      </c>
      <c r="K2037" t="s">
        <v>6</v>
      </c>
      <c r="L2037">
        <v>27.6</v>
      </c>
      <c r="M2037">
        <f t="shared" si="127"/>
        <v>1</v>
      </c>
    </row>
    <row r="2038" spans="1:13" x14ac:dyDescent="0.2">
      <c r="A2038" s="9">
        <v>44776</v>
      </c>
      <c r="B2038">
        <f t="shared" si="124"/>
        <v>3</v>
      </c>
      <c r="C2038">
        <f t="shared" si="125"/>
        <v>8</v>
      </c>
      <c r="D2038">
        <f t="shared" si="126"/>
        <v>2022</v>
      </c>
      <c r="E2038" s="11">
        <v>3.1309999999999998</v>
      </c>
      <c r="F2038" s="11">
        <v>101.54900000000001</v>
      </c>
      <c r="G2038" s="11">
        <v>27.4</v>
      </c>
      <c r="H2038" s="1" t="s">
        <v>0</v>
      </c>
      <c r="I2038">
        <v>1.3</v>
      </c>
      <c r="J2038">
        <v>30.4</v>
      </c>
      <c r="K2038" t="s">
        <v>6</v>
      </c>
      <c r="L2038">
        <v>26.6</v>
      </c>
      <c r="M2038">
        <f t="shared" si="127"/>
        <v>1</v>
      </c>
    </row>
    <row r="2039" spans="1:13" x14ac:dyDescent="0.2">
      <c r="A2039" s="9">
        <v>44777</v>
      </c>
      <c r="B2039">
        <f t="shared" si="124"/>
        <v>4</v>
      </c>
      <c r="C2039">
        <f t="shared" si="125"/>
        <v>8</v>
      </c>
      <c r="D2039">
        <f t="shared" si="126"/>
        <v>2022</v>
      </c>
      <c r="E2039" s="11">
        <v>3.1309999999999998</v>
      </c>
      <c r="F2039" s="11">
        <v>101.54900000000001</v>
      </c>
      <c r="G2039" s="11">
        <v>27.4</v>
      </c>
      <c r="H2039" s="1" t="s">
        <v>0</v>
      </c>
      <c r="I2039">
        <v>27.9</v>
      </c>
      <c r="J2039">
        <v>32</v>
      </c>
      <c r="K2039">
        <v>23</v>
      </c>
      <c r="L2039">
        <v>27.3</v>
      </c>
      <c r="M2039">
        <f t="shared" si="127"/>
        <v>1</v>
      </c>
    </row>
    <row r="2040" spans="1:13" x14ac:dyDescent="0.2">
      <c r="A2040" s="9">
        <v>44778</v>
      </c>
      <c r="B2040">
        <f t="shared" si="124"/>
        <v>5</v>
      </c>
      <c r="C2040">
        <f t="shared" si="125"/>
        <v>8</v>
      </c>
      <c r="D2040">
        <f t="shared" si="126"/>
        <v>2022</v>
      </c>
      <c r="E2040" s="11">
        <v>3.1309999999999998</v>
      </c>
      <c r="F2040" s="11">
        <v>101.54900000000001</v>
      </c>
      <c r="G2040" s="11">
        <v>27.4</v>
      </c>
      <c r="H2040" s="1" t="s">
        <v>0</v>
      </c>
      <c r="I2040">
        <v>1.8</v>
      </c>
      <c r="J2040" t="s">
        <v>6</v>
      </c>
      <c r="K2040">
        <v>23.5</v>
      </c>
      <c r="L2040">
        <v>27.1</v>
      </c>
      <c r="M2040">
        <f t="shared" si="127"/>
        <v>1</v>
      </c>
    </row>
    <row r="2041" spans="1:13" x14ac:dyDescent="0.2">
      <c r="A2041" s="9">
        <v>44779</v>
      </c>
      <c r="B2041">
        <f t="shared" si="124"/>
        <v>6</v>
      </c>
      <c r="C2041">
        <f t="shared" si="125"/>
        <v>8</v>
      </c>
      <c r="D2041">
        <f t="shared" si="126"/>
        <v>2022</v>
      </c>
      <c r="E2041" s="11">
        <v>3.1309999999999998</v>
      </c>
      <c r="F2041" s="11">
        <v>101.54900000000001</v>
      </c>
      <c r="G2041" s="11">
        <v>27.4</v>
      </c>
      <c r="H2041" s="1" t="s">
        <v>0</v>
      </c>
      <c r="I2041">
        <v>1.8</v>
      </c>
      <c r="J2041">
        <v>32.700000000000003</v>
      </c>
      <c r="K2041">
        <v>23.6</v>
      </c>
      <c r="L2041">
        <v>28.6</v>
      </c>
      <c r="M2041">
        <f t="shared" si="127"/>
        <v>1</v>
      </c>
    </row>
    <row r="2042" spans="1:13" x14ac:dyDescent="0.2">
      <c r="A2042" s="9">
        <v>44780</v>
      </c>
      <c r="B2042">
        <f t="shared" si="124"/>
        <v>7</v>
      </c>
      <c r="C2042">
        <f t="shared" si="125"/>
        <v>8</v>
      </c>
      <c r="D2042">
        <f t="shared" si="126"/>
        <v>2022</v>
      </c>
      <c r="E2042" s="11">
        <v>3.1309999999999998</v>
      </c>
      <c r="F2042" s="11">
        <v>101.54900000000001</v>
      </c>
      <c r="G2042" s="11">
        <v>27.4</v>
      </c>
      <c r="H2042" s="1" t="s">
        <v>0</v>
      </c>
      <c r="I2042">
        <v>0</v>
      </c>
      <c r="J2042">
        <v>34.200000000000003</v>
      </c>
      <c r="K2042">
        <v>23.8</v>
      </c>
      <c r="L2042">
        <v>29.5</v>
      </c>
      <c r="M2042">
        <f t="shared" si="127"/>
        <v>0</v>
      </c>
    </row>
    <row r="2043" spans="1:13" x14ac:dyDescent="0.2">
      <c r="A2043" s="9">
        <v>44781</v>
      </c>
      <c r="B2043">
        <f t="shared" si="124"/>
        <v>8</v>
      </c>
      <c r="C2043">
        <f t="shared" si="125"/>
        <v>8</v>
      </c>
      <c r="D2043">
        <f t="shared" si="126"/>
        <v>2022</v>
      </c>
      <c r="E2043" s="11">
        <v>3.1309999999999998</v>
      </c>
      <c r="F2043" s="11">
        <v>101.54900000000001</v>
      </c>
      <c r="G2043" s="11">
        <v>27.4</v>
      </c>
      <c r="H2043" s="1" t="s">
        <v>0</v>
      </c>
      <c r="I2043">
        <v>0</v>
      </c>
      <c r="J2043">
        <v>33.299999999999997</v>
      </c>
      <c r="K2043">
        <v>25</v>
      </c>
      <c r="L2043">
        <v>28.7</v>
      </c>
      <c r="M2043">
        <f t="shared" si="127"/>
        <v>0</v>
      </c>
    </row>
    <row r="2044" spans="1:13" x14ac:dyDescent="0.2">
      <c r="A2044" s="9">
        <v>44782</v>
      </c>
      <c r="B2044">
        <f t="shared" si="124"/>
        <v>9</v>
      </c>
      <c r="C2044">
        <f t="shared" si="125"/>
        <v>8</v>
      </c>
      <c r="D2044">
        <f t="shared" si="126"/>
        <v>2022</v>
      </c>
      <c r="E2044" s="11">
        <v>3.1309999999999998</v>
      </c>
      <c r="F2044" s="11">
        <v>101.54900000000001</v>
      </c>
      <c r="G2044" s="11">
        <v>27.4</v>
      </c>
      <c r="H2044" s="1" t="s">
        <v>0</v>
      </c>
      <c r="I2044">
        <v>0</v>
      </c>
      <c r="J2044">
        <v>34</v>
      </c>
      <c r="K2044">
        <v>25.6</v>
      </c>
      <c r="L2044">
        <v>29.8</v>
      </c>
      <c r="M2044">
        <f t="shared" si="127"/>
        <v>0</v>
      </c>
    </row>
    <row r="2045" spans="1:13" x14ac:dyDescent="0.2">
      <c r="A2045" s="9">
        <v>44783</v>
      </c>
      <c r="B2045">
        <f t="shared" si="124"/>
        <v>10</v>
      </c>
      <c r="C2045">
        <f t="shared" si="125"/>
        <v>8</v>
      </c>
      <c r="D2045">
        <f t="shared" si="126"/>
        <v>2022</v>
      </c>
      <c r="E2045" s="11">
        <v>3.1309999999999998</v>
      </c>
      <c r="F2045" s="11">
        <v>101.54900000000001</v>
      </c>
      <c r="G2045" s="11">
        <v>27.4</v>
      </c>
      <c r="H2045" s="1" t="s">
        <v>0</v>
      </c>
      <c r="I2045">
        <v>0</v>
      </c>
      <c r="J2045">
        <v>33.299999999999997</v>
      </c>
      <c r="K2045" t="s">
        <v>6</v>
      </c>
      <c r="L2045">
        <v>29.4</v>
      </c>
      <c r="M2045">
        <f t="shared" si="127"/>
        <v>0</v>
      </c>
    </row>
    <row r="2046" spans="1:13" x14ac:dyDescent="0.2">
      <c r="A2046" s="9">
        <v>44784</v>
      </c>
      <c r="B2046">
        <f t="shared" si="124"/>
        <v>11</v>
      </c>
      <c r="C2046">
        <f t="shared" si="125"/>
        <v>8</v>
      </c>
      <c r="D2046">
        <f t="shared" si="126"/>
        <v>2022</v>
      </c>
      <c r="E2046" s="11">
        <v>3.1309999999999998</v>
      </c>
      <c r="F2046" s="11">
        <v>101.54900000000001</v>
      </c>
      <c r="G2046" s="11">
        <v>27.4</v>
      </c>
      <c r="H2046" s="1" t="s">
        <v>0</v>
      </c>
      <c r="I2046">
        <v>0</v>
      </c>
      <c r="J2046">
        <v>34.5</v>
      </c>
      <c r="K2046">
        <v>25.1</v>
      </c>
      <c r="L2046">
        <v>30.2</v>
      </c>
      <c r="M2046">
        <f t="shared" si="127"/>
        <v>0</v>
      </c>
    </row>
    <row r="2047" spans="1:13" x14ac:dyDescent="0.2">
      <c r="A2047" s="9">
        <v>44785</v>
      </c>
      <c r="B2047">
        <f t="shared" si="124"/>
        <v>12</v>
      </c>
      <c r="C2047">
        <f t="shared" si="125"/>
        <v>8</v>
      </c>
      <c r="D2047">
        <f t="shared" si="126"/>
        <v>2022</v>
      </c>
      <c r="E2047" s="11">
        <v>3.1309999999999998</v>
      </c>
      <c r="F2047" s="11">
        <v>101.54900000000001</v>
      </c>
      <c r="G2047" s="11">
        <v>27.4</v>
      </c>
      <c r="H2047" s="1" t="s">
        <v>0</v>
      </c>
      <c r="I2047">
        <v>0</v>
      </c>
      <c r="J2047">
        <v>34.299999999999997</v>
      </c>
      <c r="K2047" t="s">
        <v>6</v>
      </c>
      <c r="L2047">
        <v>27.7</v>
      </c>
      <c r="M2047">
        <f t="shared" si="127"/>
        <v>0</v>
      </c>
    </row>
    <row r="2048" spans="1:13" x14ac:dyDescent="0.2">
      <c r="A2048" s="9">
        <v>44786</v>
      </c>
      <c r="B2048">
        <f t="shared" si="124"/>
        <v>13</v>
      </c>
      <c r="C2048">
        <f t="shared" si="125"/>
        <v>8</v>
      </c>
      <c r="D2048">
        <f t="shared" si="126"/>
        <v>2022</v>
      </c>
      <c r="E2048" s="11">
        <v>3.1309999999999998</v>
      </c>
      <c r="F2048" s="11">
        <v>101.54900000000001</v>
      </c>
      <c r="G2048" s="11">
        <v>27.4</v>
      </c>
      <c r="H2048" s="1" t="s">
        <v>0</v>
      </c>
      <c r="I2048">
        <v>5.3</v>
      </c>
      <c r="J2048">
        <v>34.299999999999997</v>
      </c>
      <c r="K2048">
        <v>24.8</v>
      </c>
      <c r="L2048">
        <v>29.2</v>
      </c>
      <c r="M2048">
        <f t="shared" si="127"/>
        <v>1</v>
      </c>
    </row>
    <row r="2049" spans="1:13" x14ac:dyDescent="0.2">
      <c r="A2049" s="9">
        <v>44787</v>
      </c>
      <c r="B2049">
        <f t="shared" si="124"/>
        <v>14</v>
      </c>
      <c r="C2049">
        <f t="shared" si="125"/>
        <v>8</v>
      </c>
      <c r="D2049">
        <f t="shared" si="126"/>
        <v>2022</v>
      </c>
      <c r="E2049" s="11">
        <v>3.1309999999999998</v>
      </c>
      <c r="F2049" s="11">
        <v>101.54900000000001</v>
      </c>
      <c r="G2049" s="11">
        <v>27.4</v>
      </c>
      <c r="H2049" s="1" t="s">
        <v>0</v>
      </c>
      <c r="I2049">
        <v>0.8</v>
      </c>
      <c r="J2049">
        <v>32.5</v>
      </c>
      <c r="K2049">
        <v>25</v>
      </c>
      <c r="L2049">
        <v>27.8</v>
      </c>
      <c r="M2049">
        <f t="shared" si="127"/>
        <v>1</v>
      </c>
    </row>
    <row r="2050" spans="1:13" x14ac:dyDescent="0.2">
      <c r="A2050" s="9">
        <v>44788</v>
      </c>
      <c r="B2050">
        <f t="shared" si="124"/>
        <v>15</v>
      </c>
      <c r="C2050">
        <f t="shared" si="125"/>
        <v>8</v>
      </c>
      <c r="D2050">
        <f t="shared" si="126"/>
        <v>2022</v>
      </c>
      <c r="E2050" s="11">
        <v>3.1309999999999998</v>
      </c>
      <c r="F2050" s="11">
        <v>101.54900000000001</v>
      </c>
      <c r="G2050" s="11">
        <v>27.4</v>
      </c>
      <c r="H2050" s="1" t="s">
        <v>0</v>
      </c>
      <c r="I2050">
        <v>1.3</v>
      </c>
      <c r="J2050">
        <v>33.700000000000003</v>
      </c>
      <c r="K2050">
        <v>24.9</v>
      </c>
      <c r="L2050">
        <v>28.6</v>
      </c>
      <c r="M2050">
        <f t="shared" si="127"/>
        <v>1</v>
      </c>
    </row>
    <row r="2051" spans="1:13" x14ac:dyDescent="0.2">
      <c r="A2051" s="9">
        <v>44789</v>
      </c>
      <c r="B2051">
        <f t="shared" ref="B2051:B2114" si="128">DAY(A2051)</f>
        <v>16</v>
      </c>
      <c r="C2051">
        <f t="shared" ref="C2051:C2114" si="129">MONTH(A2051)</f>
        <v>8</v>
      </c>
      <c r="D2051">
        <f t="shared" ref="D2051:D2114" si="130">YEAR(A2051)</f>
        <v>2022</v>
      </c>
      <c r="E2051" s="11">
        <v>3.1309999999999998</v>
      </c>
      <c r="F2051" s="11">
        <v>101.54900000000001</v>
      </c>
      <c r="G2051" s="11">
        <v>27.4</v>
      </c>
      <c r="H2051" s="1" t="s">
        <v>0</v>
      </c>
      <c r="I2051">
        <v>0</v>
      </c>
      <c r="J2051">
        <v>33.700000000000003</v>
      </c>
      <c r="K2051">
        <v>24.6</v>
      </c>
      <c r="L2051">
        <v>29</v>
      </c>
      <c r="M2051">
        <f t="shared" ref="M2051:M2114" si="131">IF(ISNUMBER(I2051), IF(I2051&gt;0, 1, 0), "")</f>
        <v>0</v>
      </c>
    </row>
    <row r="2052" spans="1:13" x14ac:dyDescent="0.2">
      <c r="A2052" s="9">
        <v>44790</v>
      </c>
      <c r="B2052">
        <f t="shared" si="128"/>
        <v>17</v>
      </c>
      <c r="C2052">
        <f t="shared" si="129"/>
        <v>8</v>
      </c>
      <c r="D2052">
        <f t="shared" si="130"/>
        <v>2022</v>
      </c>
      <c r="E2052" s="11">
        <v>3.1309999999999998</v>
      </c>
      <c r="F2052" s="11">
        <v>101.54900000000001</v>
      </c>
      <c r="G2052" s="11">
        <v>27.4</v>
      </c>
      <c r="H2052" s="1" t="s">
        <v>0</v>
      </c>
      <c r="I2052">
        <v>0</v>
      </c>
      <c r="J2052">
        <v>31.8</v>
      </c>
      <c r="K2052">
        <v>24.8</v>
      </c>
      <c r="L2052">
        <v>27</v>
      </c>
      <c r="M2052">
        <f t="shared" si="131"/>
        <v>0</v>
      </c>
    </row>
    <row r="2053" spans="1:13" x14ac:dyDescent="0.2">
      <c r="A2053" s="9">
        <v>44791</v>
      </c>
      <c r="B2053">
        <f t="shared" si="128"/>
        <v>18</v>
      </c>
      <c r="C2053">
        <f t="shared" si="129"/>
        <v>8</v>
      </c>
      <c r="D2053">
        <f t="shared" si="130"/>
        <v>2022</v>
      </c>
      <c r="E2053" s="11">
        <v>3.1309999999999998</v>
      </c>
      <c r="F2053" s="11">
        <v>101.54900000000001</v>
      </c>
      <c r="G2053" s="11">
        <v>27.4</v>
      </c>
      <c r="H2053" s="1" t="s">
        <v>0</v>
      </c>
      <c r="I2053">
        <v>24.4</v>
      </c>
      <c r="J2053" t="s">
        <v>6</v>
      </c>
      <c r="K2053">
        <v>25</v>
      </c>
      <c r="L2053">
        <v>28.2</v>
      </c>
      <c r="M2053">
        <f t="shared" si="131"/>
        <v>1</v>
      </c>
    </row>
    <row r="2054" spans="1:13" x14ac:dyDescent="0.2">
      <c r="A2054" s="9">
        <v>44792</v>
      </c>
      <c r="B2054">
        <f t="shared" si="128"/>
        <v>19</v>
      </c>
      <c r="C2054">
        <f t="shared" si="129"/>
        <v>8</v>
      </c>
      <c r="D2054">
        <f t="shared" si="130"/>
        <v>2022</v>
      </c>
      <c r="E2054" s="11">
        <v>3.1309999999999998</v>
      </c>
      <c r="F2054" s="11">
        <v>101.54900000000001</v>
      </c>
      <c r="G2054" s="11">
        <v>27.4</v>
      </c>
      <c r="H2054" s="1" t="s">
        <v>0</v>
      </c>
      <c r="I2054">
        <v>0</v>
      </c>
      <c r="J2054" t="s">
        <v>6</v>
      </c>
      <c r="K2054">
        <v>24.6</v>
      </c>
      <c r="L2054">
        <v>29</v>
      </c>
      <c r="M2054">
        <f t="shared" si="131"/>
        <v>0</v>
      </c>
    </row>
    <row r="2055" spans="1:13" x14ac:dyDescent="0.2">
      <c r="A2055" s="9">
        <v>44793</v>
      </c>
      <c r="B2055">
        <f t="shared" si="128"/>
        <v>20</v>
      </c>
      <c r="C2055">
        <f t="shared" si="129"/>
        <v>8</v>
      </c>
      <c r="D2055">
        <f t="shared" si="130"/>
        <v>2022</v>
      </c>
      <c r="E2055" s="11">
        <v>3.1309999999999998</v>
      </c>
      <c r="F2055" s="11">
        <v>101.54900000000001</v>
      </c>
      <c r="G2055" s="11">
        <v>27.4</v>
      </c>
      <c r="H2055" s="1" t="s">
        <v>0</v>
      </c>
      <c r="I2055">
        <v>0</v>
      </c>
      <c r="J2055">
        <v>31.7</v>
      </c>
      <c r="K2055" t="s">
        <v>6</v>
      </c>
      <c r="L2055">
        <v>26.1</v>
      </c>
      <c r="M2055">
        <f t="shared" si="131"/>
        <v>0</v>
      </c>
    </row>
    <row r="2056" spans="1:13" x14ac:dyDescent="0.2">
      <c r="A2056" s="9">
        <v>44794</v>
      </c>
      <c r="B2056">
        <f t="shared" si="128"/>
        <v>21</v>
      </c>
      <c r="C2056">
        <f t="shared" si="129"/>
        <v>8</v>
      </c>
      <c r="D2056">
        <f t="shared" si="130"/>
        <v>2022</v>
      </c>
      <c r="E2056" s="11">
        <v>3.1309999999999998</v>
      </c>
      <c r="F2056" s="11">
        <v>101.54900000000001</v>
      </c>
      <c r="G2056" s="11">
        <v>27.4</v>
      </c>
      <c r="H2056" s="1" t="s">
        <v>0</v>
      </c>
      <c r="I2056">
        <v>32.299999999999997</v>
      </c>
      <c r="J2056" t="s">
        <v>6</v>
      </c>
      <c r="K2056" t="s">
        <v>6</v>
      </c>
      <c r="L2056">
        <v>26.4</v>
      </c>
      <c r="M2056">
        <f t="shared" si="131"/>
        <v>1</v>
      </c>
    </row>
    <row r="2057" spans="1:13" x14ac:dyDescent="0.2">
      <c r="A2057" s="9">
        <v>44795</v>
      </c>
      <c r="B2057">
        <f t="shared" si="128"/>
        <v>22</v>
      </c>
      <c r="C2057">
        <f t="shared" si="129"/>
        <v>8</v>
      </c>
      <c r="D2057">
        <f t="shared" si="130"/>
        <v>2022</v>
      </c>
      <c r="E2057" s="11">
        <v>3.1309999999999998</v>
      </c>
      <c r="F2057" s="11">
        <v>101.54900000000001</v>
      </c>
      <c r="G2057" s="11">
        <v>27.4</v>
      </c>
      <c r="H2057" s="1" t="s">
        <v>0</v>
      </c>
      <c r="I2057">
        <v>0</v>
      </c>
      <c r="J2057">
        <v>34.200000000000003</v>
      </c>
      <c r="K2057" t="s">
        <v>6</v>
      </c>
      <c r="L2057">
        <v>27.4</v>
      </c>
      <c r="M2057">
        <f t="shared" si="131"/>
        <v>0</v>
      </c>
    </row>
    <row r="2058" spans="1:13" x14ac:dyDescent="0.2">
      <c r="A2058" s="9">
        <v>44796</v>
      </c>
      <c r="B2058">
        <f t="shared" si="128"/>
        <v>23</v>
      </c>
      <c r="C2058">
        <f t="shared" si="129"/>
        <v>8</v>
      </c>
      <c r="D2058">
        <f t="shared" si="130"/>
        <v>2022</v>
      </c>
      <c r="E2058" s="11">
        <v>3.1309999999999998</v>
      </c>
      <c r="F2058" s="11">
        <v>101.54900000000001</v>
      </c>
      <c r="G2058" s="11">
        <v>27.4</v>
      </c>
      <c r="H2058" s="1" t="s">
        <v>0</v>
      </c>
      <c r="I2058">
        <v>10.9</v>
      </c>
      <c r="J2058">
        <v>32.799999999999997</v>
      </c>
      <c r="K2058" t="s">
        <v>6</v>
      </c>
      <c r="L2058">
        <v>26.3</v>
      </c>
      <c r="M2058">
        <f t="shared" si="131"/>
        <v>1</v>
      </c>
    </row>
    <row r="2059" spans="1:13" x14ac:dyDescent="0.2">
      <c r="A2059" s="9">
        <v>44797</v>
      </c>
      <c r="B2059">
        <f t="shared" si="128"/>
        <v>24</v>
      </c>
      <c r="C2059">
        <f t="shared" si="129"/>
        <v>8</v>
      </c>
      <c r="D2059">
        <f t="shared" si="130"/>
        <v>2022</v>
      </c>
      <c r="E2059" s="11">
        <v>3.1309999999999998</v>
      </c>
      <c r="F2059" s="11">
        <v>101.54900000000001</v>
      </c>
      <c r="G2059" s="11">
        <v>27.4</v>
      </c>
      <c r="H2059" s="1" t="s">
        <v>0</v>
      </c>
      <c r="I2059">
        <v>3</v>
      </c>
      <c r="J2059">
        <v>34.1</v>
      </c>
      <c r="K2059">
        <v>23.5</v>
      </c>
      <c r="L2059">
        <v>28.9</v>
      </c>
      <c r="M2059">
        <f t="shared" si="131"/>
        <v>1</v>
      </c>
    </row>
    <row r="2060" spans="1:13" x14ac:dyDescent="0.2">
      <c r="A2060" s="9">
        <v>44798</v>
      </c>
      <c r="B2060">
        <f t="shared" si="128"/>
        <v>25</v>
      </c>
      <c r="C2060">
        <f t="shared" si="129"/>
        <v>8</v>
      </c>
      <c r="D2060">
        <f t="shared" si="130"/>
        <v>2022</v>
      </c>
      <c r="E2060" s="11">
        <v>3.1309999999999998</v>
      </c>
      <c r="F2060" s="11">
        <v>101.54900000000001</v>
      </c>
      <c r="G2060" s="11">
        <v>27.4</v>
      </c>
      <c r="H2060" s="1" t="s">
        <v>0</v>
      </c>
      <c r="I2060">
        <v>0</v>
      </c>
      <c r="J2060">
        <v>31.7</v>
      </c>
      <c r="K2060" t="s">
        <v>6</v>
      </c>
      <c r="L2060">
        <v>26.9</v>
      </c>
      <c r="M2060">
        <f t="shared" si="131"/>
        <v>0</v>
      </c>
    </row>
    <row r="2061" spans="1:13" x14ac:dyDescent="0.2">
      <c r="A2061" s="9">
        <v>44799</v>
      </c>
      <c r="B2061">
        <f t="shared" si="128"/>
        <v>26</v>
      </c>
      <c r="C2061">
        <f t="shared" si="129"/>
        <v>8</v>
      </c>
      <c r="D2061">
        <f t="shared" si="130"/>
        <v>2022</v>
      </c>
      <c r="E2061" s="11">
        <v>3.1309999999999998</v>
      </c>
      <c r="F2061" s="11">
        <v>101.54900000000001</v>
      </c>
      <c r="G2061" s="11">
        <v>27.4</v>
      </c>
      <c r="H2061" s="1" t="s">
        <v>0</v>
      </c>
      <c r="I2061">
        <v>6.9</v>
      </c>
      <c r="J2061">
        <v>32.1</v>
      </c>
      <c r="K2061">
        <v>23.3</v>
      </c>
      <c r="L2061">
        <v>27.5</v>
      </c>
      <c r="M2061">
        <f t="shared" si="131"/>
        <v>1</v>
      </c>
    </row>
    <row r="2062" spans="1:13" x14ac:dyDescent="0.2">
      <c r="A2062" s="9">
        <v>44800</v>
      </c>
      <c r="B2062">
        <f t="shared" si="128"/>
        <v>27</v>
      </c>
      <c r="C2062">
        <f t="shared" si="129"/>
        <v>8</v>
      </c>
      <c r="D2062">
        <f t="shared" si="130"/>
        <v>2022</v>
      </c>
      <c r="E2062" s="11">
        <v>3.1309999999999998</v>
      </c>
      <c r="F2062" s="11">
        <v>101.54900000000001</v>
      </c>
      <c r="G2062" s="11">
        <v>27.4</v>
      </c>
      <c r="H2062" s="1" t="s">
        <v>0</v>
      </c>
      <c r="I2062">
        <v>0</v>
      </c>
      <c r="J2062">
        <v>33.299999999999997</v>
      </c>
      <c r="K2062" t="s">
        <v>6</v>
      </c>
      <c r="L2062">
        <v>26.3</v>
      </c>
      <c r="M2062">
        <f t="shared" si="131"/>
        <v>0</v>
      </c>
    </row>
    <row r="2063" spans="1:13" x14ac:dyDescent="0.2">
      <c r="A2063" s="9">
        <v>44801</v>
      </c>
      <c r="B2063">
        <f t="shared" si="128"/>
        <v>28</v>
      </c>
      <c r="C2063">
        <f t="shared" si="129"/>
        <v>8</v>
      </c>
      <c r="D2063">
        <f t="shared" si="130"/>
        <v>2022</v>
      </c>
      <c r="E2063" s="11">
        <v>3.1309999999999998</v>
      </c>
      <c r="F2063" s="11">
        <v>101.54900000000001</v>
      </c>
      <c r="G2063" s="11">
        <v>27.4</v>
      </c>
      <c r="H2063" s="1" t="s">
        <v>0</v>
      </c>
      <c r="I2063">
        <v>46</v>
      </c>
      <c r="J2063">
        <v>31.3</v>
      </c>
      <c r="K2063" t="s">
        <v>6</v>
      </c>
      <c r="L2063">
        <v>26.4</v>
      </c>
      <c r="M2063">
        <f t="shared" si="131"/>
        <v>1</v>
      </c>
    </row>
    <row r="2064" spans="1:13" x14ac:dyDescent="0.2">
      <c r="A2064" s="9">
        <v>44802</v>
      </c>
      <c r="B2064">
        <f t="shared" si="128"/>
        <v>29</v>
      </c>
      <c r="C2064">
        <f t="shared" si="129"/>
        <v>8</v>
      </c>
      <c r="D2064">
        <f t="shared" si="130"/>
        <v>2022</v>
      </c>
      <c r="E2064" s="11">
        <v>3.1309999999999998</v>
      </c>
      <c r="F2064" s="11">
        <v>101.54900000000001</v>
      </c>
      <c r="G2064" s="11">
        <v>27.4</v>
      </c>
      <c r="H2064" s="1" t="s">
        <v>0</v>
      </c>
      <c r="I2064">
        <v>46</v>
      </c>
      <c r="J2064" t="s">
        <v>6</v>
      </c>
      <c r="K2064">
        <v>23.3</v>
      </c>
      <c r="L2064">
        <v>26.4</v>
      </c>
      <c r="M2064">
        <f t="shared" si="131"/>
        <v>1</v>
      </c>
    </row>
    <row r="2065" spans="1:13" x14ac:dyDescent="0.2">
      <c r="A2065" s="9">
        <v>44803</v>
      </c>
      <c r="B2065">
        <f t="shared" si="128"/>
        <v>30</v>
      </c>
      <c r="C2065">
        <f t="shared" si="129"/>
        <v>8</v>
      </c>
      <c r="D2065">
        <f t="shared" si="130"/>
        <v>2022</v>
      </c>
      <c r="E2065" s="11">
        <v>3.1309999999999998</v>
      </c>
      <c r="F2065" s="11">
        <v>101.54900000000001</v>
      </c>
      <c r="G2065" s="11">
        <v>27.4</v>
      </c>
      <c r="H2065" s="1" t="s">
        <v>0</v>
      </c>
      <c r="I2065">
        <v>17.5</v>
      </c>
      <c r="J2065">
        <v>33.299999999999997</v>
      </c>
      <c r="K2065">
        <v>24.1</v>
      </c>
      <c r="L2065">
        <v>28.2</v>
      </c>
      <c r="M2065">
        <f t="shared" si="131"/>
        <v>1</v>
      </c>
    </row>
    <row r="2066" spans="1:13" x14ac:dyDescent="0.2">
      <c r="A2066" s="9">
        <v>44804</v>
      </c>
      <c r="B2066">
        <f t="shared" si="128"/>
        <v>31</v>
      </c>
      <c r="C2066">
        <f t="shared" si="129"/>
        <v>8</v>
      </c>
      <c r="D2066">
        <f t="shared" si="130"/>
        <v>2022</v>
      </c>
      <c r="E2066" s="11">
        <v>3.1309999999999998</v>
      </c>
      <c r="F2066" s="11">
        <v>101.54900000000001</v>
      </c>
      <c r="G2066" s="11">
        <v>27.4</v>
      </c>
      <c r="H2066" s="1" t="s">
        <v>0</v>
      </c>
      <c r="I2066">
        <v>1.3</v>
      </c>
      <c r="J2066" t="s">
        <v>6</v>
      </c>
      <c r="K2066">
        <v>24.5</v>
      </c>
      <c r="L2066">
        <v>27.6</v>
      </c>
      <c r="M2066">
        <f t="shared" si="131"/>
        <v>1</v>
      </c>
    </row>
    <row r="2067" spans="1:13" x14ac:dyDescent="0.2">
      <c r="A2067" s="9">
        <v>44805</v>
      </c>
      <c r="B2067">
        <f t="shared" si="128"/>
        <v>1</v>
      </c>
      <c r="C2067">
        <f t="shared" si="129"/>
        <v>9</v>
      </c>
      <c r="D2067">
        <f t="shared" si="130"/>
        <v>2022</v>
      </c>
      <c r="E2067" s="11">
        <v>3.1309999999999998</v>
      </c>
      <c r="F2067" s="11">
        <v>101.54900000000001</v>
      </c>
      <c r="G2067" s="11">
        <v>27.4</v>
      </c>
      <c r="H2067" s="1" t="s">
        <v>0</v>
      </c>
      <c r="I2067">
        <v>2.2999999999999998</v>
      </c>
      <c r="J2067">
        <v>31.5</v>
      </c>
      <c r="K2067">
        <v>25.5</v>
      </c>
      <c r="L2067">
        <v>27.6</v>
      </c>
      <c r="M2067">
        <f t="shared" si="131"/>
        <v>1</v>
      </c>
    </row>
    <row r="2068" spans="1:13" x14ac:dyDescent="0.2">
      <c r="A2068" s="9">
        <v>44806</v>
      </c>
      <c r="B2068">
        <f t="shared" si="128"/>
        <v>2</v>
      </c>
      <c r="C2068">
        <f t="shared" si="129"/>
        <v>9</v>
      </c>
      <c r="D2068">
        <f t="shared" si="130"/>
        <v>2022</v>
      </c>
      <c r="E2068" s="11">
        <v>3.1309999999999998</v>
      </c>
      <c r="F2068" s="11">
        <v>101.54900000000001</v>
      </c>
      <c r="G2068" s="11">
        <v>27.4</v>
      </c>
      <c r="H2068" s="1" t="s">
        <v>0</v>
      </c>
      <c r="I2068">
        <v>0</v>
      </c>
      <c r="J2068">
        <v>32.299999999999997</v>
      </c>
      <c r="K2068" t="s">
        <v>6</v>
      </c>
      <c r="L2068">
        <v>27.7</v>
      </c>
      <c r="M2068">
        <f t="shared" si="131"/>
        <v>0</v>
      </c>
    </row>
    <row r="2069" spans="1:13" x14ac:dyDescent="0.2">
      <c r="A2069" s="9">
        <v>44807</v>
      </c>
      <c r="B2069">
        <f t="shared" si="128"/>
        <v>3</v>
      </c>
      <c r="C2069">
        <f t="shared" si="129"/>
        <v>9</v>
      </c>
      <c r="D2069">
        <f t="shared" si="130"/>
        <v>2022</v>
      </c>
      <c r="E2069" s="11">
        <v>3.1309999999999998</v>
      </c>
      <c r="F2069" s="11">
        <v>101.54900000000001</v>
      </c>
      <c r="G2069" s="11">
        <v>27.4</v>
      </c>
      <c r="H2069" s="1" t="s">
        <v>0</v>
      </c>
      <c r="I2069">
        <v>0</v>
      </c>
      <c r="J2069">
        <v>31.5</v>
      </c>
      <c r="K2069">
        <v>24.5</v>
      </c>
      <c r="L2069">
        <v>27.3</v>
      </c>
      <c r="M2069">
        <f t="shared" si="131"/>
        <v>0</v>
      </c>
    </row>
    <row r="2070" spans="1:13" x14ac:dyDescent="0.2">
      <c r="A2070" s="9">
        <v>44808</v>
      </c>
      <c r="B2070">
        <f t="shared" si="128"/>
        <v>4</v>
      </c>
      <c r="C2070">
        <f t="shared" si="129"/>
        <v>9</v>
      </c>
      <c r="D2070">
        <f t="shared" si="130"/>
        <v>2022</v>
      </c>
      <c r="E2070" s="11">
        <v>3.1309999999999998</v>
      </c>
      <c r="F2070" s="11">
        <v>101.54900000000001</v>
      </c>
      <c r="G2070" s="11">
        <v>27.4</v>
      </c>
      <c r="H2070" s="1" t="s">
        <v>0</v>
      </c>
      <c r="I2070">
        <v>3.3</v>
      </c>
      <c r="J2070">
        <v>34</v>
      </c>
      <c r="K2070">
        <v>24.8</v>
      </c>
      <c r="L2070">
        <v>29.5</v>
      </c>
      <c r="M2070">
        <f t="shared" si="131"/>
        <v>1</v>
      </c>
    </row>
    <row r="2071" spans="1:13" x14ac:dyDescent="0.2">
      <c r="A2071" s="9">
        <v>44809</v>
      </c>
      <c r="B2071">
        <f t="shared" si="128"/>
        <v>5</v>
      </c>
      <c r="C2071">
        <f t="shared" si="129"/>
        <v>9</v>
      </c>
      <c r="D2071">
        <f t="shared" si="130"/>
        <v>2022</v>
      </c>
      <c r="E2071" s="11">
        <v>3.1309999999999998</v>
      </c>
      <c r="F2071" s="11">
        <v>101.54900000000001</v>
      </c>
      <c r="G2071" s="11">
        <v>27.4</v>
      </c>
      <c r="H2071" s="1" t="s">
        <v>0</v>
      </c>
      <c r="I2071">
        <v>0</v>
      </c>
      <c r="J2071">
        <v>33.799999999999997</v>
      </c>
      <c r="K2071">
        <v>25.6</v>
      </c>
      <c r="L2071">
        <v>29.3</v>
      </c>
      <c r="M2071">
        <f t="shared" si="131"/>
        <v>0</v>
      </c>
    </row>
    <row r="2072" spans="1:13" x14ac:dyDescent="0.2">
      <c r="A2072" s="9">
        <v>44810</v>
      </c>
      <c r="B2072">
        <f t="shared" si="128"/>
        <v>6</v>
      </c>
      <c r="C2072">
        <f t="shared" si="129"/>
        <v>9</v>
      </c>
      <c r="D2072">
        <f t="shared" si="130"/>
        <v>2022</v>
      </c>
      <c r="E2072" s="11">
        <v>3.1309999999999998</v>
      </c>
      <c r="F2072" s="11">
        <v>101.54900000000001</v>
      </c>
      <c r="G2072" s="11">
        <v>27.4</v>
      </c>
      <c r="H2072" s="1" t="s">
        <v>0</v>
      </c>
      <c r="I2072">
        <v>0</v>
      </c>
      <c r="J2072" t="s">
        <v>6</v>
      </c>
      <c r="K2072" t="s">
        <v>6</v>
      </c>
      <c r="L2072">
        <v>27.7</v>
      </c>
      <c r="M2072">
        <f t="shared" si="131"/>
        <v>0</v>
      </c>
    </row>
    <row r="2073" spans="1:13" x14ac:dyDescent="0.2">
      <c r="A2073" s="9">
        <v>44811</v>
      </c>
      <c r="B2073">
        <f t="shared" si="128"/>
        <v>7</v>
      </c>
      <c r="C2073">
        <f t="shared" si="129"/>
        <v>9</v>
      </c>
      <c r="D2073">
        <f t="shared" si="130"/>
        <v>2022</v>
      </c>
      <c r="E2073" s="11">
        <v>3.1309999999999998</v>
      </c>
      <c r="F2073" s="11">
        <v>101.54900000000001</v>
      </c>
      <c r="G2073" s="11">
        <v>27.4</v>
      </c>
      <c r="H2073" s="1" t="s">
        <v>0</v>
      </c>
      <c r="I2073">
        <v>3.8</v>
      </c>
      <c r="J2073" t="s">
        <v>6</v>
      </c>
      <c r="K2073">
        <v>24.4</v>
      </c>
      <c r="L2073">
        <v>27.2</v>
      </c>
      <c r="M2073">
        <f t="shared" si="131"/>
        <v>1</v>
      </c>
    </row>
    <row r="2074" spans="1:13" x14ac:dyDescent="0.2">
      <c r="A2074" s="9">
        <v>44812</v>
      </c>
      <c r="B2074">
        <f t="shared" si="128"/>
        <v>8</v>
      </c>
      <c r="C2074">
        <f t="shared" si="129"/>
        <v>9</v>
      </c>
      <c r="D2074">
        <f t="shared" si="130"/>
        <v>2022</v>
      </c>
      <c r="E2074" s="11">
        <v>3.1309999999999998</v>
      </c>
      <c r="F2074" s="11">
        <v>101.54900000000001</v>
      </c>
      <c r="G2074" s="11">
        <v>27.4</v>
      </c>
      <c r="H2074" s="1" t="s">
        <v>0</v>
      </c>
      <c r="I2074">
        <v>1</v>
      </c>
      <c r="J2074">
        <v>34.299999999999997</v>
      </c>
      <c r="K2074">
        <v>25</v>
      </c>
      <c r="L2074">
        <v>28.7</v>
      </c>
      <c r="M2074">
        <f t="shared" si="131"/>
        <v>1</v>
      </c>
    </row>
    <row r="2075" spans="1:13" x14ac:dyDescent="0.2">
      <c r="A2075" s="9">
        <v>44813</v>
      </c>
      <c r="B2075">
        <f t="shared" si="128"/>
        <v>9</v>
      </c>
      <c r="C2075">
        <f t="shared" si="129"/>
        <v>9</v>
      </c>
      <c r="D2075">
        <f t="shared" si="130"/>
        <v>2022</v>
      </c>
      <c r="E2075" s="11">
        <v>3.1309999999999998</v>
      </c>
      <c r="F2075" s="11">
        <v>101.54900000000001</v>
      </c>
      <c r="G2075" s="11">
        <v>27.4</v>
      </c>
      <c r="H2075" s="1" t="s">
        <v>0</v>
      </c>
      <c r="I2075">
        <v>6.4</v>
      </c>
      <c r="J2075" t="s">
        <v>6</v>
      </c>
      <c r="K2075" t="s">
        <v>6</v>
      </c>
      <c r="L2075">
        <v>26.7</v>
      </c>
      <c r="M2075">
        <f t="shared" si="131"/>
        <v>1</v>
      </c>
    </row>
    <row r="2076" spans="1:13" x14ac:dyDescent="0.2">
      <c r="A2076" s="9">
        <v>44814</v>
      </c>
      <c r="B2076">
        <f t="shared" si="128"/>
        <v>10</v>
      </c>
      <c r="C2076">
        <f t="shared" si="129"/>
        <v>9</v>
      </c>
      <c r="D2076">
        <f t="shared" si="130"/>
        <v>2022</v>
      </c>
      <c r="E2076" s="11">
        <v>3.1309999999999998</v>
      </c>
      <c r="F2076" s="11">
        <v>101.54900000000001</v>
      </c>
      <c r="G2076" s="11">
        <v>27.4</v>
      </c>
      <c r="H2076" s="1" t="s">
        <v>0</v>
      </c>
      <c r="I2076">
        <v>40.9</v>
      </c>
      <c r="J2076">
        <v>31.9</v>
      </c>
      <c r="K2076">
        <v>24</v>
      </c>
      <c r="L2076">
        <v>28.1</v>
      </c>
      <c r="M2076">
        <f t="shared" si="131"/>
        <v>1</v>
      </c>
    </row>
    <row r="2077" spans="1:13" x14ac:dyDescent="0.2">
      <c r="A2077" s="9">
        <v>44815</v>
      </c>
      <c r="B2077">
        <f t="shared" si="128"/>
        <v>11</v>
      </c>
      <c r="C2077">
        <f t="shared" si="129"/>
        <v>9</v>
      </c>
      <c r="D2077">
        <f t="shared" si="130"/>
        <v>2022</v>
      </c>
      <c r="E2077" s="11">
        <v>3.1309999999999998</v>
      </c>
      <c r="F2077" s="11">
        <v>101.54900000000001</v>
      </c>
      <c r="G2077" s="11">
        <v>27.4</v>
      </c>
      <c r="H2077" s="1" t="s">
        <v>0</v>
      </c>
      <c r="I2077">
        <v>0.5</v>
      </c>
      <c r="J2077" t="s">
        <v>6</v>
      </c>
      <c r="K2077" t="s">
        <v>6</v>
      </c>
      <c r="L2077">
        <v>25.9</v>
      </c>
      <c r="M2077">
        <f t="shared" si="131"/>
        <v>1</v>
      </c>
    </row>
    <row r="2078" spans="1:13" x14ac:dyDescent="0.2">
      <c r="A2078" s="9">
        <v>44816</v>
      </c>
      <c r="B2078">
        <f t="shared" si="128"/>
        <v>12</v>
      </c>
      <c r="C2078">
        <f t="shared" si="129"/>
        <v>9</v>
      </c>
      <c r="D2078">
        <f t="shared" si="130"/>
        <v>2022</v>
      </c>
      <c r="E2078" s="11">
        <v>3.1309999999999998</v>
      </c>
      <c r="F2078" s="11">
        <v>101.54900000000001</v>
      </c>
      <c r="G2078" s="11">
        <v>27.4</v>
      </c>
      <c r="H2078" s="1" t="s">
        <v>0</v>
      </c>
      <c r="I2078">
        <v>2.2999999999999998</v>
      </c>
      <c r="J2078">
        <v>34.1</v>
      </c>
      <c r="K2078">
        <v>23.8</v>
      </c>
      <c r="L2078">
        <v>28.2</v>
      </c>
      <c r="M2078">
        <f t="shared" si="131"/>
        <v>1</v>
      </c>
    </row>
    <row r="2079" spans="1:13" x14ac:dyDescent="0.2">
      <c r="A2079" s="9">
        <v>44817</v>
      </c>
      <c r="B2079">
        <f t="shared" si="128"/>
        <v>13</v>
      </c>
      <c r="C2079">
        <f t="shared" si="129"/>
        <v>9</v>
      </c>
      <c r="D2079">
        <f t="shared" si="130"/>
        <v>2022</v>
      </c>
      <c r="E2079" s="11">
        <v>3.1309999999999998</v>
      </c>
      <c r="F2079" s="11">
        <v>101.54900000000001</v>
      </c>
      <c r="G2079" s="11">
        <v>27.4</v>
      </c>
      <c r="H2079" s="1" t="s">
        <v>0</v>
      </c>
      <c r="I2079">
        <v>0</v>
      </c>
      <c r="J2079">
        <v>34.4</v>
      </c>
      <c r="K2079">
        <v>23.8</v>
      </c>
      <c r="L2079">
        <v>27.5</v>
      </c>
      <c r="M2079">
        <f t="shared" si="131"/>
        <v>0</v>
      </c>
    </row>
    <row r="2080" spans="1:13" x14ac:dyDescent="0.2">
      <c r="A2080" s="9">
        <v>44818</v>
      </c>
      <c r="B2080">
        <f t="shared" si="128"/>
        <v>14</v>
      </c>
      <c r="C2080">
        <f t="shared" si="129"/>
        <v>9</v>
      </c>
      <c r="D2080">
        <f t="shared" si="130"/>
        <v>2022</v>
      </c>
      <c r="E2080" s="11">
        <v>3.1309999999999998</v>
      </c>
      <c r="F2080" s="11">
        <v>101.54900000000001</v>
      </c>
      <c r="G2080" s="11">
        <v>27.4</v>
      </c>
      <c r="H2080" s="1" t="s">
        <v>0</v>
      </c>
      <c r="I2080">
        <v>0.8</v>
      </c>
      <c r="J2080">
        <v>32.6</v>
      </c>
      <c r="K2080">
        <v>23.9</v>
      </c>
      <c r="L2080">
        <v>28.6</v>
      </c>
      <c r="M2080">
        <f t="shared" si="131"/>
        <v>1</v>
      </c>
    </row>
    <row r="2081" spans="1:13" x14ac:dyDescent="0.2">
      <c r="A2081" s="9">
        <v>44819</v>
      </c>
      <c r="B2081">
        <f t="shared" si="128"/>
        <v>15</v>
      </c>
      <c r="C2081">
        <f t="shared" si="129"/>
        <v>9</v>
      </c>
      <c r="D2081">
        <f t="shared" si="130"/>
        <v>2022</v>
      </c>
      <c r="E2081" s="11">
        <v>3.1309999999999998</v>
      </c>
      <c r="F2081" s="11">
        <v>101.54900000000001</v>
      </c>
      <c r="G2081" s="11">
        <v>27.4</v>
      </c>
      <c r="H2081" s="1" t="s">
        <v>0</v>
      </c>
      <c r="I2081">
        <v>0</v>
      </c>
      <c r="J2081">
        <v>31.6</v>
      </c>
      <c r="K2081">
        <v>24.7</v>
      </c>
      <c r="L2081">
        <v>27.8</v>
      </c>
      <c r="M2081">
        <f t="shared" si="131"/>
        <v>0</v>
      </c>
    </row>
    <row r="2082" spans="1:13" x14ac:dyDescent="0.2">
      <c r="A2082" s="9">
        <v>44820</v>
      </c>
      <c r="B2082">
        <f t="shared" si="128"/>
        <v>16</v>
      </c>
      <c r="C2082">
        <f t="shared" si="129"/>
        <v>9</v>
      </c>
      <c r="D2082">
        <f t="shared" si="130"/>
        <v>2022</v>
      </c>
      <c r="E2082" s="11">
        <v>3.1309999999999998</v>
      </c>
      <c r="F2082" s="11">
        <v>101.54900000000001</v>
      </c>
      <c r="G2082" s="11">
        <v>27.4</v>
      </c>
      <c r="H2082" s="1" t="s">
        <v>0</v>
      </c>
      <c r="I2082">
        <v>5.6</v>
      </c>
      <c r="J2082">
        <v>32.1</v>
      </c>
      <c r="K2082" t="s">
        <v>6</v>
      </c>
      <c r="L2082">
        <v>27.4</v>
      </c>
      <c r="M2082">
        <f t="shared" si="131"/>
        <v>1</v>
      </c>
    </row>
    <row r="2083" spans="1:13" x14ac:dyDescent="0.2">
      <c r="A2083" s="9">
        <v>44821</v>
      </c>
      <c r="B2083">
        <f t="shared" si="128"/>
        <v>17</v>
      </c>
      <c r="C2083">
        <f t="shared" si="129"/>
        <v>9</v>
      </c>
      <c r="D2083">
        <f t="shared" si="130"/>
        <v>2022</v>
      </c>
      <c r="E2083" s="11">
        <v>3.1309999999999998</v>
      </c>
      <c r="F2083" s="11">
        <v>101.54900000000001</v>
      </c>
      <c r="G2083" s="11">
        <v>27.4</v>
      </c>
      <c r="H2083" s="1" t="s">
        <v>0</v>
      </c>
      <c r="I2083">
        <v>1.5</v>
      </c>
      <c r="J2083" t="s">
        <v>6</v>
      </c>
      <c r="K2083">
        <v>24.7</v>
      </c>
      <c r="L2083">
        <v>26.6</v>
      </c>
      <c r="M2083">
        <f t="shared" si="131"/>
        <v>1</v>
      </c>
    </row>
    <row r="2084" spans="1:13" x14ac:dyDescent="0.2">
      <c r="A2084" s="9">
        <v>44822</v>
      </c>
      <c r="B2084">
        <f t="shared" si="128"/>
        <v>18</v>
      </c>
      <c r="C2084">
        <f t="shared" si="129"/>
        <v>9</v>
      </c>
      <c r="D2084">
        <f t="shared" si="130"/>
        <v>2022</v>
      </c>
      <c r="E2084" s="11">
        <v>3.1309999999999998</v>
      </c>
      <c r="F2084" s="11">
        <v>101.54900000000001</v>
      </c>
      <c r="G2084" s="11">
        <v>27.4</v>
      </c>
      <c r="H2084" s="1" t="s">
        <v>0</v>
      </c>
      <c r="I2084">
        <v>0</v>
      </c>
      <c r="J2084" t="s">
        <v>6</v>
      </c>
      <c r="K2084" t="s">
        <v>6</v>
      </c>
      <c r="L2084">
        <v>25.8</v>
      </c>
      <c r="M2084">
        <f t="shared" si="131"/>
        <v>0</v>
      </c>
    </row>
    <row r="2085" spans="1:13" x14ac:dyDescent="0.2">
      <c r="A2085" s="9">
        <v>44823</v>
      </c>
      <c r="B2085">
        <f t="shared" si="128"/>
        <v>19</v>
      </c>
      <c r="C2085">
        <f t="shared" si="129"/>
        <v>9</v>
      </c>
      <c r="D2085">
        <f t="shared" si="130"/>
        <v>2022</v>
      </c>
      <c r="E2085" s="11">
        <v>3.1309999999999998</v>
      </c>
      <c r="F2085" s="11">
        <v>101.54900000000001</v>
      </c>
      <c r="G2085" s="11">
        <v>27.4</v>
      </c>
      <c r="H2085" s="1" t="s">
        <v>0</v>
      </c>
      <c r="I2085">
        <v>6.1</v>
      </c>
      <c r="J2085">
        <v>34.1</v>
      </c>
      <c r="K2085">
        <v>23.6</v>
      </c>
      <c r="L2085">
        <v>28.8</v>
      </c>
      <c r="M2085">
        <f t="shared" si="131"/>
        <v>1</v>
      </c>
    </row>
    <row r="2086" spans="1:13" x14ac:dyDescent="0.2">
      <c r="A2086" s="9">
        <v>44824</v>
      </c>
      <c r="B2086">
        <f t="shared" si="128"/>
        <v>20</v>
      </c>
      <c r="C2086">
        <f t="shared" si="129"/>
        <v>9</v>
      </c>
      <c r="D2086">
        <f t="shared" si="130"/>
        <v>2022</v>
      </c>
      <c r="E2086" s="11">
        <v>3.1309999999999998</v>
      </c>
      <c r="F2086" s="11">
        <v>101.54900000000001</v>
      </c>
      <c r="G2086" s="11">
        <v>27.4</v>
      </c>
      <c r="H2086" s="1" t="s">
        <v>0</v>
      </c>
      <c r="I2086">
        <v>0</v>
      </c>
      <c r="J2086">
        <v>33.799999999999997</v>
      </c>
      <c r="K2086">
        <v>24.4</v>
      </c>
      <c r="L2086">
        <v>28.4</v>
      </c>
      <c r="M2086">
        <f t="shared" si="131"/>
        <v>0</v>
      </c>
    </row>
    <row r="2087" spans="1:13" x14ac:dyDescent="0.2">
      <c r="A2087" s="9">
        <v>44825</v>
      </c>
      <c r="B2087">
        <f t="shared" si="128"/>
        <v>21</v>
      </c>
      <c r="C2087">
        <f t="shared" si="129"/>
        <v>9</v>
      </c>
      <c r="D2087">
        <f t="shared" si="130"/>
        <v>2022</v>
      </c>
      <c r="E2087" s="11">
        <v>3.1309999999999998</v>
      </c>
      <c r="F2087" s="11">
        <v>101.54900000000001</v>
      </c>
      <c r="G2087" s="11">
        <v>27.4</v>
      </c>
      <c r="H2087" s="1" t="s">
        <v>0</v>
      </c>
      <c r="I2087" t="s">
        <v>6</v>
      </c>
      <c r="J2087" t="s">
        <v>6</v>
      </c>
      <c r="K2087">
        <v>24.8</v>
      </c>
      <c r="L2087">
        <v>28.7</v>
      </c>
      <c r="M2087" t="str">
        <f t="shared" si="131"/>
        <v/>
      </c>
    </row>
    <row r="2088" spans="1:13" x14ac:dyDescent="0.2">
      <c r="A2088" s="9">
        <v>44826</v>
      </c>
      <c r="B2088">
        <f t="shared" si="128"/>
        <v>22</v>
      </c>
      <c r="C2088">
        <f t="shared" si="129"/>
        <v>9</v>
      </c>
      <c r="D2088">
        <f t="shared" si="130"/>
        <v>2022</v>
      </c>
      <c r="E2088" s="11">
        <v>3.1309999999999998</v>
      </c>
      <c r="F2088" s="11">
        <v>101.54900000000001</v>
      </c>
      <c r="G2088" s="11">
        <v>27.4</v>
      </c>
      <c r="H2088" s="1" t="s">
        <v>0</v>
      </c>
      <c r="I2088">
        <v>3</v>
      </c>
      <c r="J2088" t="s">
        <v>6</v>
      </c>
      <c r="K2088" t="s">
        <v>6</v>
      </c>
      <c r="L2088">
        <v>27.1</v>
      </c>
      <c r="M2088">
        <f t="shared" si="131"/>
        <v>1</v>
      </c>
    </row>
    <row r="2089" spans="1:13" x14ac:dyDescent="0.2">
      <c r="A2089" s="9">
        <v>44827</v>
      </c>
      <c r="B2089">
        <f t="shared" si="128"/>
        <v>23</v>
      </c>
      <c r="C2089">
        <f t="shared" si="129"/>
        <v>9</v>
      </c>
      <c r="D2089">
        <f t="shared" si="130"/>
        <v>2022</v>
      </c>
      <c r="E2089" s="11">
        <v>3.1309999999999998</v>
      </c>
      <c r="F2089" s="11">
        <v>101.54900000000001</v>
      </c>
      <c r="G2089" s="11">
        <v>27.4</v>
      </c>
      <c r="H2089" s="1" t="s">
        <v>0</v>
      </c>
      <c r="I2089">
        <v>15.7</v>
      </c>
      <c r="J2089" t="s">
        <v>6</v>
      </c>
      <c r="K2089" t="s">
        <v>6</v>
      </c>
      <c r="L2089">
        <v>28.6</v>
      </c>
      <c r="M2089">
        <f t="shared" si="131"/>
        <v>1</v>
      </c>
    </row>
    <row r="2090" spans="1:13" x14ac:dyDescent="0.2">
      <c r="A2090" s="9">
        <v>44828</v>
      </c>
      <c r="B2090">
        <f t="shared" si="128"/>
        <v>24</v>
      </c>
      <c r="C2090">
        <f t="shared" si="129"/>
        <v>9</v>
      </c>
      <c r="D2090">
        <f t="shared" si="130"/>
        <v>2022</v>
      </c>
      <c r="E2090" s="11">
        <v>3.1309999999999998</v>
      </c>
      <c r="F2090" s="11">
        <v>101.54900000000001</v>
      </c>
      <c r="G2090" s="11">
        <v>27.4</v>
      </c>
      <c r="H2090" s="1" t="s">
        <v>0</v>
      </c>
      <c r="I2090">
        <v>1.3</v>
      </c>
      <c r="J2090" t="s">
        <v>6</v>
      </c>
      <c r="K2090">
        <v>23.6</v>
      </c>
      <c r="L2090">
        <v>28</v>
      </c>
      <c r="M2090">
        <f t="shared" si="131"/>
        <v>1</v>
      </c>
    </row>
    <row r="2091" spans="1:13" x14ac:dyDescent="0.2">
      <c r="A2091" s="9">
        <v>44829</v>
      </c>
      <c r="B2091">
        <f t="shared" si="128"/>
        <v>25</v>
      </c>
      <c r="C2091">
        <f t="shared" si="129"/>
        <v>9</v>
      </c>
      <c r="D2091">
        <f t="shared" si="130"/>
        <v>2022</v>
      </c>
      <c r="E2091" s="11">
        <v>3.1309999999999998</v>
      </c>
      <c r="F2091" s="11">
        <v>101.54900000000001</v>
      </c>
      <c r="G2091" s="11">
        <v>27.4</v>
      </c>
      <c r="H2091" s="1" t="s">
        <v>0</v>
      </c>
      <c r="I2091">
        <v>12.4</v>
      </c>
      <c r="J2091" t="s">
        <v>6</v>
      </c>
      <c r="K2091">
        <v>23.4</v>
      </c>
      <c r="L2091">
        <v>26.9</v>
      </c>
      <c r="M2091">
        <f t="shared" si="131"/>
        <v>1</v>
      </c>
    </row>
    <row r="2092" spans="1:13" x14ac:dyDescent="0.2">
      <c r="A2092" s="9">
        <v>44830</v>
      </c>
      <c r="B2092">
        <f t="shared" si="128"/>
        <v>26</v>
      </c>
      <c r="C2092">
        <f t="shared" si="129"/>
        <v>9</v>
      </c>
      <c r="D2092">
        <f t="shared" si="130"/>
        <v>2022</v>
      </c>
      <c r="E2092" s="11">
        <v>3.1309999999999998</v>
      </c>
      <c r="F2092" s="11">
        <v>101.54900000000001</v>
      </c>
      <c r="G2092" s="11">
        <v>27.4</v>
      </c>
      <c r="H2092" s="1" t="s">
        <v>0</v>
      </c>
      <c r="I2092">
        <v>1.8</v>
      </c>
      <c r="J2092" t="s">
        <v>6</v>
      </c>
      <c r="K2092">
        <v>23.9</v>
      </c>
      <c r="L2092">
        <v>29</v>
      </c>
      <c r="M2092">
        <f t="shared" si="131"/>
        <v>1</v>
      </c>
    </row>
    <row r="2093" spans="1:13" x14ac:dyDescent="0.2">
      <c r="A2093" s="9">
        <v>44831</v>
      </c>
      <c r="B2093">
        <f t="shared" si="128"/>
        <v>27</v>
      </c>
      <c r="C2093">
        <f t="shared" si="129"/>
        <v>9</v>
      </c>
      <c r="D2093">
        <f t="shared" si="130"/>
        <v>2022</v>
      </c>
      <c r="E2093" s="11">
        <v>3.1309999999999998</v>
      </c>
      <c r="F2093" s="11">
        <v>101.54900000000001</v>
      </c>
      <c r="G2093" s="11">
        <v>27.4</v>
      </c>
      <c r="H2093" s="1" t="s">
        <v>0</v>
      </c>
      <c r="I2093">
        <v>2.5</v>
      </c>
      <c r="J2093" t="s">
        <v>6</v>
      </c>
      <c r="K2093" t="s">
        <v>6</v>
      </c>
      <c r="L2093">
        <v>27.9</v>
      </c>
      <c r="M2093">
        <f t="shared" si="131"/>
        <v>1</v>
      </c>
    </row>
    <row r="2094" spans="1:13" x14ac:dyDescent="0.2">
      <c r="A2094" s="9">
        <v>44832</v>
      </c>
      <c r="B2094">
        <f t="shared" si="128"/>
        <v>28</v>
      </c>
      <c r="C2094">
        <f t="shared" si="129"/>
        <v>9</v>
      </c>
      <c r="D2094">
        <f t="shared" si="130"/>
        <v>2022</v>
      </c>
      <c r="E2094" s="11">
        <v>3.1309999999999998</v>
      </c>
      <c r="F2094" s="11">
        <v>101.54900000000001</v>
      </c>
      <c r="G2094" s="11">
        <v>27.4</v>
      </c>
      <c r="H2094" s="1" t="s">
        <v>0</v>
      </c>
      <c r="I2094">
        <v>45.7</v>
      </c>
      <c r="J2094">
        <v>29.7</v>
      </c>
      <c r="K2094">
        <v>22.5</v>
      </c>
      <c r="L2094">
        <v>26.3</v>
      </c>
      <c r="M2094">
        <f t="shared" si="131"/>
        <v>1</v>
      </c>
    </row>
    <row r="2095" spans="1:13" x14ac:dyDescent="0.2">
      <c r="A2095" s="9">
        <v>44833</v>
      </c>
      <c r="B2095">
        <f t="shared" si="128"/>
        <v>29</v>
      </c>
      <c r="C2095">
        <f t="shared" si="129"/>
        <v>9</v>
      </c>
      <c r="D2095">
        <f t="shared" si="130"/>
        <v>2022</v>
      </c>
      <c r="E2095" s="11">
        <v>3.1309999999999998</v>
      </c>
      <c r="F2095" s="11">
        <v>101.54900000000001</v>
      </c>
      <c r="G2095" s="11">
        <v>27.4</v>
      </c>
      <c r="H2095" s="1" t="s">
        <v>0</v>
      </c>
      <c r="I2095">
        <v>3.3</v>
      </c>
      <c r="J2095" t="s">
        <v>6</v>
      </c>
      <c r="K2095">
        <v>23.1</v>
      </c>
      <c r="L2095">
        <v>28.9</v>
      </c>
      <c r="M2095">
        <f t="shared" si="131"/>
        <v>1</v>
      </c>
    </row>
    <row r="2096" spans="1:13" x14ac:dyDescent="0.2">
      <c r="A2096" s="9">
        <v>44834</v>
      </c>
      <c r="B2096">
        <f t="shared" si="128"/>
        <v>30</v>
      </c>
      <c r="C2096">
        <f t="shared" si="129"/>
        <v>9</v>
      </c>
      <c r="D2096">
        <f t="shared" si="130"/>
        <v>2022</v>
      </c>
      <c r="E2096" s="11">
        <v>3.1309999999999998</v>
      </c>
      <c r="F2096" s="11">
        <v>101.54900000000001</v>
      </c>
      <c r="G2096" s="11">
        <v>27.4</v>
      </c>
      <c r="H2096" s="1" t="s">
        <v>0</v>
      </c>
      <c r="I2096">
        <v>0</v>
      </c>
      <c r="J2096" t="s">
        <v>6</v>
      </c>
      <c r="K2096">
        <v>25</v>
      </c>
      <c r="L2096">
        <v>26.9</v>
      </c>
      <c r="M2096">
        <f t="shared" si="131"/>
        <v>0</v>
      </c>
    </row>
    <row r="2097" spans="1:13" x14ac:dyDescent="0.2">
      <c r="A2097" s="9">
        <v>44835</v>
      </c>
      <c r="B2097">
        <f t="shared" si="128"/>
        <v>1</v>
      </c>
      <c r="C2097">
        <f t="shared" si="129"/>
        <v>10</v>
      </c>
      <c r="D2097">
        <f t="shared" si="130"/>
        <v>2022</v>
      </c>
      <c r="E2097" s="11">
        <v>3.1309999999999998</v>
      </c>
      <c r="F2097" s="11">
        <v>101.54900000000001</v>
      </c>
      <c r="G2097" s="11">
        <v>27.4</v>
      </c>
      <c r="H2097" s="1" t="s">
        <v>0</v>
      </c>
      <c r="I2097">
        <v>6.1</v>
      </c>
      <c r="J2097" t="s">
        <v>6</v>
      </c>
      <c r="K2097" t="s">
        <v>6</v>
      </c>
      <c r="L2097">
        <v>27</v>
      </c>
      <c r="M2097">
        <f t="shared" si="131"/>
        <v>1</v>
      </c>
    </row>
    <row r="2098" spans="1:13" x14ac:dyDescent="0.2">
      <c r="A2098" s="9">
        <v>44836</v>
      </c>
      <c r="B2098">
        <f t="shared" si="128"/>
        <v>2</v>
      </c>
      <c r="C2098">
        <f t="shared" si="129"/>
        <v>10</v>
      </c>
      <c r="D2098">
        <f t="shared" si="130"/>
        <v>2022</v>
      </c>
      <c r="E2098" s="11">
        <v>3.1309999999999998</v>
      </c>
      <c r="F2098" s="11">
        <v>101.54900000000001</v>
      </c>
      <c r="G2098" s="11">
        <v>27.4</v>
      </c>
      <c r="H2098" s="1" t="s">
        <v>0</v>
      </c>
      <c r="I2098">
        <v>8.4</v>
      </c>
      <c r="J2098" t="s">
        <v>6</v>
      </c>
      <c r="K2098">
        <v>24</v>
      </c>
      <c r="L2098">
        <v>27.3</v>
      </c>
      <c r="M2098">
        <f t="shared" si="131"/>
        <v>1</v>
      </c>
    </row>
    <row r="2099" spans="1:13" x14ac:dyDescent="0.2">
      <c r="A2099" s="9">
        <v>44837</v>
      </c>
      <c r="B2099">
        <f t="shared" si="128"/>
        <v>3</v>
      </c>
      <c r="C2099">
        <f t="shared" si="129"/>
        <v>10</v>
      </c>
      <c r="D2099">
        <f t="shared" si="130"/>
        <v>2022</v>
      </c>
      <c r="E2099" s="11">
        <v>3.1309999999999998</v>
      </c>
      <c r="F2099" s="11">
        <v>101.54900000000001</v>
      </c>
      <c r="G2099" s="11">
        <v>27.4</v>
      </c>
      <c r="H2099" s="1" t="s">
        <v>0</v>
      </c>
      <c r="I2099">
        <v>0</v>
      </c>
      <c r="J2099" t="s">
        <v>6</v>
      </c>
      <c r="K2099">
        <v>24.6</v>
      </c>
      <c r="L2099">
        <v>27.4</v>
      </c>
      <c r="M2099">
        <f t="shared" si="131"/>
        <v>0</v>
      </c>
    </row>
    <row r="2100" spans="1:13" x14ac:dyDescent="0.2">
      <c r="A2100" s="9">
        <v>44838</v>
      </c>
      <c r="B2100">
        <f t="shared" si="128"/>
        <v>4</v>
      </c>
      <c r="C2100">
        <f t="shared" si="129"/>
        <v>10</v>
      </c>
      <c r="D2100">
        <f t="shared" si="130"/>
        <v>2022</v>
      </c>
      <c r="E2100" s="11">
        <v>3.1309999999999998</v>
      </c>
      <c r="F2100" s="11">
        <v>101.54900000000001</v>
      </c>
      <c r="G2100" s="11">
        <v>27.4</v>
      </c>
      <c r="H2100" s="1" t="s">
        <v>0</v>
      </c>
      <c r="I2100">
        <v>5.6</v>
      </c>
      <c r="J2100" t="s">
        <v>6</v>
      </c>
      <c r="K2100">
        <v>24.6</v>
      </c>
      <c r="L2100">
        <v>27</v>
      </c>
      <c r="M2100">
        <f t="shared" si="131"/>
        <v>1</v>
      </c>
    </row>
    <row r="2101" spans="1:13" x14ac:dyDescent="0.2">
      <c r="A2101" s="9">
        <v>44839</v>
      </c>
      <c r="B2101">
        <f t="shared" si="128"/>
        <v>5</v>
      </c>
      <c r="C2101">
        <f t="shared" si="129"/>
        <v>10</v>
      </c>
      <c r="D2101">
        <f t="shared" si="130"/>
        <v>2022</v>
      </c>
      <c r="E2101" s="11">
        <v>3.1309999999999998</v>
      </c>
      <c r="F2101" s="11">
        <v>101.54900000000001</v>
      </c>
      <c r="G2101" s="11">
        <v>27.4</v>
      </c>
      <c r="H2101" s="1" t="s">
        <v>0</v>
      </c>
      <c r="I2101">
        <v>4.8</v>
      </c>
      <c r="J2101" t="s">
        <v>6</v>
      </c>
      <c r="K2101">
        <v>24.7</v>
      </c>
      <c r="L2101">
        <v>28.4</v>
      </c>
      <c r="M2101">
        <f t="shared" si="131"/>
        <v>1</v>
      </c>
    </row>
    <row r="2102" spans="1:13" x14ac:dyDescent="0.2">
      <c r="A2102" s="9">
        <v>44840</v>
      </c>
      <c r="B2102">
        <f t="shared" si="128"/>
        <v>6</v>
      </c>
      <c r="C2102">
        <f t="shared" si="129"/>
        <v>10</v>
      </c>
      <c r="D2102">
        <f t="shared" si="130"/>
        <v>2022</v>
      </c>
      <c r="E2102" s="11">
        <v>3.1309999999999998</v>
      </c>
      <c r="F2102" s="11">
        <v>101.54900000000001</v>
      </c>
      <c r="G2102" s="11">
        <v>27.4</v>
      </c>
      <c r="H2102" s="1" t="s">
        <v>0</v>
      </c>
      <c r="I2102">
        <v>0</v>
      </c>
      <c r="J2102" t="s">
        <v>6</v>
      </c>
      <c r="K2102">
        <v>25.4</v>
      </c>
      <c r="L2102">
        <v>28.3</v>
      </c>
      <c r="M2102">
        <f t="shared" si="131"/>
        <v>0</v>
      </c>
    </row>
    <row r="2103" spans="1:13" x14ac:dyDescent="0.2">
      <c r="A2103" s="9">
        <v>44841</v>
      </c>
      <c r="B2103">
        <f t="shared" si="128"/>
        <v>7</v>
      </c>
      <c r="C2103">
        <f t="shared" si="129"/>
        <v>10</v>
      </c>
      <c r="D2103">
        <f t="shared" si="130"/>
        <v>2022</v>
      </c>
      <c r="E2103" s="11">
        <v>3.1309999999999998</v>
      </c>
      <c r="F2103" s="11">
        <v>101.54900000000001</v>
      </c>
      <c r="G2103" s="11">
        <v>27.4</v>
      </c>
      <c r="H2103" s="1" t="s">
        <v>0</v>
      </c>
      <c r="I2103">
        <v>0</v>
      </c>
      <c r="J2103">
        <v>29.2</v>
      </c>
      <c r="K2103" t="s">
        <v>6</v>
      </c>
      <c r="L2103">
        <v>25.6</v>
      </c>
      <c r="M2103">
        <f t="shared" si="131"/>
        <v>0</v>
      </c>
    </row>
    <row r="2104" spans="1:13" x14ac:dyDescent="0.2">
      <c r="A2104" s="9">
        <v>44842</v>
      </c>
      <c r="B2104">
        <f t="shared" si="128"/>
        <v>8</v>
      </c>
      <c r="C2104">
        <f t="shared" si="129"/>
        <v>10</v>
      </c>
      <c r="D2104">
        <f t="shared" si="130"/>
        <v>2022</v>
      </c>
      <c r="E2104" s="11">
        <v>3.1309999999999998</v>
      </c>
      <c r="F2104" s="11">
        <v>101.54900000000001</v>
      </c>
      <c r="G2104" s="11">
        <v>27.4</v>
      </c>
      <c r="H2104" s="1" t="s">
        <v>0</v>
      </c>
      <c r="I2104" t="s">
        <v>6</v>
      </c>
      <c r="J2104" t="s">
        <v>6</v>
      </c>
      <c r="K2104">
        <v>23.6</v>
      </c>
      <c r="L2104">
        <v>27.7</v>
      </c>
      <c r="M2104" t="str">
        <f t="shared" si="131"/>
        <v/>
      </c>
    </row>
    <row r="2105" spans="1:13" x14ac:dyDescent="0.2">
      <c r="A2105" s="9">
        <v>44843</v>
      </c>
      <c r="B2105">
        <f t="shared" si="128"/>
        <v>9</v>
      </c>
      <c r="C2105">
        <f t="shared" si="129"/>
        <v>10</v>
      </c>
      <c r="D2105">
        <f t="shared" si="130"/>
        <v>2022</v>
      </c>
      <c r="E2105" s="11">
        <v>3.1309999999999998</v>
      </c>
      <c r="F2105" s="11">
        <v>101.54900000000001</v>
      </c>
      <c r="G2105" s="11">
        <v>27.4</v>
      </c>
      <c r="H2105" s="1" t="s">
        <v>0</v>
      </c>
      <c r="I2105">
        <v>3</v>
      </c>
      <c r="J2105" t="s">
        <v>6</v>
      </c>
      <c r="K2105">
        <v>23.7</v>
      </c>
      <c r="L2105">
        <v>26.3</v>
      </c>
      <c r="M2105">
        <f t="shared" si="131"/>
        <v>1</v>
      </c>
    </row>
    <row r="2106" spans="1:13" x14ac:dyDescent="0.2">
      <c r="A2106" s="9">
        <v>44844</v>
      </c>
      <c r="B2106">
        <f t="shared" si="128"/>
        <v>10</v>
      </c>
      <c r="C2106">
        <f t="shared" si="129"/>
        <v>10</v>
      </c>
      <c r="D2106">
        <f t="shared" si="130"/>
        <v>2022</v>
      </c>
      <c r="E2106" s="11">
        <v>3.1309999999999998</v>
      </c>
      <c r="F2106" s="11">
        <v>101.54900000000001</v>
      </c>
      <c r="G2106" s="11">
        <v>27.4</v>
      </c>
      <c r="H2106" s="1" t="s">
        <v>0</v>
      </c>
      <c r="I2106">
        <v>1.5</v>
      </c>
      <c r="J2106" t="s">
        <v>6</v>
      </c>
      <c r="K2106">
        <v>23.5</v>
      </c>
      <c r="L2106">
        <v>27.4</v>
      </c>
      <c r="M2106">
        <f t="shared" si="131"/>
        <v>1</v>
      </c>
    </row>
    <row r="2107" spans="1:13" x14ac:dyDescent="0.2">
      <c r="A2107" s="9">
        <v>44845</v>
      </c>
      <c r="B2107">
        <f t="shared" si="128"/>
        <v>11</v>
      </c>
      <c r="C2107">
        <f t="shared" si="129"/>
        <v>10</v>
      </c>
      <c r="D2107">
        <f t="shared" si="130"/>
        <v>2022</v>
      </c>
      <c r="E2107" s="11">
        <v>3.1309999999999998</v>
      </c>
      <c r="F2107" s="11">
        <v>101.54900000000001</v>
      </c>
      <c r="G2107" s="11">
        <v>27.4</v>
      </c>
      <c r="H2107" s="1" t="s">
        <v>0</v>
      </c>
      <c r="I2107">
        <v>0</v>
      </c>
      <c r="J2107" t="s">
        <v>6</v>
      </c>
      <c r="K2107" t="s">
        <v>6</v>
      </c>
      <c r="L2107">
        <v>28.1</v>
      </c>
      <c r="M2107">
        <f t="shared" si="131"/>
        <v>0</v>
      </c>
    </row>
    <row r="2108" spans="1:13" x14ac:dyDescent="0.2">
      <c r="A2108" s="9">
        <v>44846</v>
      </c>
      <c r="B2108">
        <f t="shared" si="128"/>
        <v>12</v>
      </c>
      <c r="C2108">
        <f t="shared" si="129"/>
        <v>10</v>
      </c>
      <c r="D2108">
        <f t="shared" si="130"/>
        <v>2022</v>
      </c>
      <c r="E2108" s="11">
        <v>3.1309999999999998</v>
      </c>
      <c r="F2108" s="11">
        <v>101.54900000000001</v>
      </c>
      <c r="G2108" s="11">
        <v>27.4</v>
      </c>
      <c r="H2108" s="1" t="s">
        <v>0</v>
      </c>
      <c r="I2108">
        <v>21.3</v>
      </c>
      <c r="J2108">
        <v>30.2</v>
      </c>
      <c r="K2108">
        <v>22.4</v>
      </c>
      <c r="L2108">
        <v>26.6</v>
      </c>
      <c r="M2108">
        <f t="shared" si="131"/>
        <v>1</v>
      </c>
    </row>
    <row r="2109" spans="1:13" x14ac:dyDescent="0.2">
      <c r="A2109" s="9">
        <v>44847</v>
      </c>
      <c r="B2109">
        <f t="shared" si="128"/>
        <v>13</v>
      </c>
      <c r="C2109">
        <f t="shared" si="129"/>
        <v>10</v>
      </c>
      <c r="D2109">
        <f t="shared" si="130"/>
        <v>2022</v>
      </c>
      <c r="E2109" s="11">
        <v>3.1309999999999998</v>
      </c>
      <c r="F2109" s="11">
        <v>101.54900000000001</v>
      </c>
      <c r="G2109" s="11">
        <v>27.4</v>
      </c>
      <c r="H2109" s="1" t="s">
        <v>0</v>
      </c>
      <c r="I2109">
        <v>0.5</v>
      </c>
      <c r="J2109">
        <v>32.799999999999997</v>
      </c>
      <c r="K2109">
        <v>22.6</v>
      </c>
      <c r="L2109">
        <v>28.1</v>
      </c>
      <c r="M2109">
        <f t="shared" si="131"/>
        <v>1</v>
      </c>
    </row>
    <row r="2110" spans="1:13" x14ac:dyDescent="0.2">
      <c r="A2110" s="9">
        <v>44848</v>
      </c>
      <c r="B2110">
        <f t="shared" si="128"/>
        <v>14</v>
      </c>
      <c r="C2110">
        <f t="shared" si="129"/>
        <v>10</v>
      </c>
      <c r="D2110">
        <f t="shared" si="130"/>
        <v>2022</v>
      </c>
      <c r="E2110" s="11">
        <v>3.1309999999999998</v>
      </c>
      <c r="F2110" s="11">
        <v>101.54900000000001</v>
      </c>
      <c r="G2110" s="11">
        <v>27.4</v>
      </c>
      <c r="H2110" s="1" t="s">
        <v>0</v>
      </c>
      <c r="I2110">
        <v>0</v>
      </c>
      <c r="J2110" t="s">
        <v>6</v>
      </c>
      <c r="K2110" t="s">
        <v>6</v>
      </c>
      <c r="L2110">
        <v>27.8</v>
      </c>
      <c r="M2110">
        <f t="shared" si="131"/>
        <v>0</v>
      </c>
    </row>
    <row r="2111" spans="1:13" x14ac:dyDescent="0.2">
      <c r="A2111" s="9">
        <v>44849</v>
      </c>
      <c r="B2111">
        <f t="shared" si="128"/>
        <v>15</v>
      </c>
      <c r="C2111">
        <f t="shared" si="129"/>
        <v>10</v>
      </c>
      <c r="D2111">
        <f t="shared" si="130"/>
        <v>2022</v>
      </c>
      <c r="E2111" s="11">
        <v>3.1309999999999998</v>
      </c>
      <c r="F2111" s="11">
        <v>101.54900000000001</v>
      </c>
      <c r="G2111" s="11">
        <v>27.4</v>
      </c>
      <c r="H2111" s="1" t="s">
        <v>0</v>
      </c>
      <c r="I2111" t="s">
        <v>6</v>
      </c>
      <c r="J2111" t="s">
        <v>6</v>
      </c>
      <c r="K2111" t="s">
        <v>6</v>
      </c>
      <c r="L2111">
        <v>27.4</v>
      </c>
      <c r="M2111" t="str">
        <f t="shared" si="131"/>
        <v/>
      </c>
    </row>
    <row r="2112" spans="1:13" x14ac:dyDescent="0.2">
      <c r="A2112" s="9">
        <v>44850</v>
      </c>
      <c r="B2112">
        <f t="shared" si="128"/>
        <v>16</v>
      </c>
      <c r="C2112">
        <f t="shared" si="129"/>
        <v>10</v>
      </c>
      <c r="D2112">
        <f t="shared" si="130"/>
        <v>2022</v>
      </c>
      <c r="E2112" s="11">
        <v>3.1309999999999998</v>
      </c>
      <c r="F2112" s="11">
        <v>101.54900000000001</v>
      </c>
      <c r="G2112" s="11">
        <v>27.4</v>
      </c>
      <c r="H2112" s="1" t="s">
        <v>0</v>
      </c>
      <c r="I2112">
        <v>2.5</v>
      </c>
      <c r="J2112">
        <v>33.1</v>
      </c>
      <c r="K2112">
        <v>24.4</v>
      </c>
      <c r="L2112">
        <v>29</v>
      </c>
      <c r="M2112">
        <f t="shared" si="131"/>
        <v>1</v>
      </c>
    </row>
    <row r="2113" spans="1:13" x14ac:dyDescent="0.2">
      <c r="A2113" s="9">
        <v>44851</v>
      </c>
      <c r="B2113">
        <f t="shared" si="128"/>
        <v>17</v>
      </c>
      <c r="C2113">
        <f t="shared" si="129"/>
        <v>10</v>
      </c>
      <c r="D2113">
        <f t="shared" si="130"/>
        <v>2022</v>
      </c>
      <c r="E2113" s="11">
        <v>3.1309999999999998</v>
      </c>
      <c r="F2113" s="11">
        <v>101.54900000000001</v>
      </c>
      <c r="G2113" s="11">
        <v>27.4</v>
      </c>
      <c r="H2113" s="1" t="s">
        <v>0</v>
      </c>
      <c r="I2113">
        <v>0</v>
      </c>
      <c r="J2113" t="s">
        <v>6</v>
      </c>
      <c r="K2113" t="s">
        <v>6</v>
      </c>
      <c r="L2113">
        <v>28.8</v>
      </c>
      <c r="M2113">
        <f t="shared" si="131"/>
        <v>0</v>
      </c>
    </row>
    <row r="2114" spans="1:13" x14ac:dyDescent="0.2">
      <c r="A2114" s="9">
        <v>44852</v>
      </c>
      <c r="B2114">
        <f t="shared" si="128"/>
        <v>18</v>
      </c>
      <c r="C2114">
        <f t="shared" si="129"/>
        <v>10</v>
      </c>
      <c r="D2114">
        <f t="shared" si="130"/>
        <v>2022</v>
      </c>
      <c r="E2114" s="11">
        <v>3.1309999999999998</v>
      </c>
      <c r="F2114" s="11">
        <v>101.54900000000001</v>
      </c>
      <c r="G2114" s="11">
        <v>27.4</v>
      </c>
      <c r="H2114" s="1" t="s">
        <v>0</v>
      </c>
      <c r="I2114" t="s">
        <v>6</v>
      </c>
      <c r="J2114">
        <v>32.4</v>
      </c>
      <c r="K2114" t="s">
        <v>6</v>
      </c>
      <c r="L2114">
        <v>28.1</v>
      </c>
      <c r="M2114" t="str">
        <f t="shared" si="131"/>
        <v/>
      </c>
    </row>
    <row r="2115" spans="1:13" x14ac:dyDescent="0.2">
      <c r="A2115" s="9">
        <v>44853</v>
      </c>
      <c r="B2115">
        <f t="shared" ref="B2115:B2178" si="132">DAY(A2115)</f>
        <v>19</v>
      </c>
      <c r="C2115">
        <f t="shared" ref="C2115:C2178" si="133">MONTH(A2115)</f>
        <v>10</v>
      </c>
      <c r="D2115">
        <f t="shared" ref="D2115:D2178" si="134">YEAR(A2115)</f>
        <v>2022</v>
      </c>
      <c r="E2115" s="11">
        <v>3.1309999999999998</v>
      </c>
      <c r="F2115" s="11">
        <v>101.54900000000001</v>
      </c>
      <c r="G2115" s="11">
        <v>27.4</v>
      </c>
      <c r="H2115" s="1" t="s">
        <v>0</v>
      </c>
      <c r="I2115" t="s">
        <v>6</v>
      </c>
      <c r="J2115" t="s">
        <v>6</v>
      </c>
      <c r="K2115">
        <v>25.8</v>
      </c>
      <c r="L2115">
        <v>28.9</v>
      </c>
      <c r="M2115" t="str">
        <f t="shared" ref="M2115:M2178" si="135">IF(ISNUMBER(I2115), IF(I2115&gt;0, 1, 0), "")</f>
        <v/>
      </c>
    </row>
    <row r="2116" spans="1:13" x14ac:dyDescent="0.2">
      <c r="A2116" s="9">
        <v>44854</v>
      </c>
      <c r="B2116">
        <f t="shared" si="132"/>
        <v>20</v>
      </c>
      <c r="C2116">
        <f t="shared" si="133"/>
        <v>10</v>
      </c>
      <c r="D2116">
        <f t="shared" si="134"/>
        <v>2022</v>
      </c>
      <c r="E2116" s="11">
        <v>3.1309999999999998</v>
      </c>
      <c r="F2116" s="11">
        <v>101.54900000000001</v>
      </c>
      <c r="G2116" s="11">
        <v>27.4</v>
      </c>
      <c r="H2116" s="1" t="s">
        <v>0</v>
      </c>
      <c r="I2116">
        <v>6.1</v>
      </c>
      <c r="J2116" t="s">
        <v>6</v>
      </c>
      <c r="K2116">
        <v>26.2</v>
      </c>
      <c r="L2116">
        <v>29.8</v>
      </c>
      <c r="M2116">
        <f t="shared" si="135"/>
        <v>1</v>
      </c>
    </row>
    <row r="2117" spans="1:13" x14ac:dyDescent="0.2">
      <c r="A2117" s="9">
        <v>44855</v>
      </c>
      <c r="B2117">
        <f t="shared" si="132"/>
        <v>21</v>
      </c>
      <c r="C2117">
        <f t="shared" si="133"/>
        <v>10</v>
      </c>
      <c r="D2117">
        <f t="shared" si="134"/>
        <v>2022</v>
      </c>
      <c r="E2117" s="11">
        <v>3.1309999999999998</v>
      </c>
      <c r="F2117" s="11">
        <v>101.54900000000001</v>
      </c>
      <c r="G2117" s="11">
        <v>27.4</v>
      </c>
      <c r="H2117" s="1" t="s">
        <v>0</v>
      </c>
      <c r="I2117">
        <v>0</v>
      </c>
      <c r="J2117" t="s">
        <v>6</v>
      </c>
      <c r="K2117" t="s">
        <v>6</v>
      </c>
      <c r="L2117">
        <v>28.1</v>
      </c>
      <c r="M2117">
        <f t="shared" si="135"/>
        <v>0</v>
      </c>
    </row>
    <row r="2118" spans="1:13" x14ac:dyDescent="0.2">
      <c r="A2118" s="9">
        <v>44856</v>
      </c>
      <c r="B2118">
        <f t="shared" si="132"/>
        <v>22</v>
      </c>
      <c r="C2118">
        <f t="shared" si="133"/>
        <v>10</v>
      </c>
      <c r="D2118">
        <f t="shared" si="134"/>
        <v>2022</v>
      </c>
      <c r="E2118" s="11">
        <v>3.1309999999999998</v>
      </c>
      <c r="F2118" s="11">
        <v>101.54900000000001</v>
      </c>
      <c r="G2118" s="11">
        <v>27.4</v>
      </c>
      <c r="H2118" s="1" t="s">
        <v>0</v>
      </c>
      <c r="I2118">
        <v>12.4</v>
      </c>
      <c r="J2118" t="s">
        <v>6</v>
      </c>
      <c r="K2118">
        <v>24.5</v>
      </c>
      <c r="L2118">
        <v>27.9</v>
      </c>
      <c r="M2118">
        <f t="shared" si="135"/>
        <v>1</v>
      </c>
    </row>
    <row r="2119" spans="1:13" x14ac:dyDescent="0.2">
      <c r="A2119" s="9">
        <v>44857</v>
      </c>
      <c r="B2119">
        <f t="shared" si="132"/>
        <v>23</v>
      </c>
      <c r="C2119">
        <f t="shared" si="133"/>
        <v>10</v>
      </c>
      <c r="D2119">
        <f t="shared" si="134"/>
        <v>2022</v>
      </c>
      <c r="E2119" s="11">
        <v>3.1309999999999998</v>
      </c>
      <c r="F2119" s="11">
        <v>101.54900000000001</v>
      </c>
      <c r="G2119" s="11">
        <v>27.4</v>
      </c>
      <c r="H2119" s="1" t="s">
        <v>0</v>
      </c>
      <c r="I2119">
        <v>1.5</v>
      </c>
      <c r="J2119" t="s">
        <v>6</v>
      </c>
      <c r="K2119" t="s">
        <v>6</v>
      </c>
      <c r="L2119">
        <v>27.2</v>
      </c>
      <c r="M2119">
        <f t="shared" si="135"/>
        <v>1</v>
      </c>
    </row>
    <row r="2120" spans="1:13" x14ac:dyDescent="0.2">
      <c r="A2120" s="9">
        <v>44858</v>
      </c>
      <c r="B2120">
        <f t="shared" si="132"/>
        <v>24</v>
      </c>
      <c r="C2120">
        <f t="shared" si="133"/>
        <v>10</v>
      </c>
      <c r="D2120">
        <f t="shared" si="134"/>
        <v>2022</v>
      </c>
      <c r="E2120" s="11">
        <v>3.1309999999999998</v>
      </c>
      <c r="F2120" s="11">
        <v>101.54900000000001</v>
      </c>
      <c r="G2120" s="11">
        <v>27.4</v>
      </c>
      <c r="H2120" s="1" t="s">
        <v>0</v>
      </c>
      <c r="I2120">
        <v>7.9</v>
      </c>
      <c r="J2120" t="s">
        <v>6</v>
      </c>
      <c r="K2120" t="s">
        <v>6</v>
      </c>
      <c r="L2120">
        <v>26.3</v>
      </c>
      <c r="M2120">
        <f t="shared" si="135"/>
        <v>1</v>
      </c>
    </row>
    <row r="2121" spans="1:13" x14ac:dyDescent="0.2">
      <c r="A2121" s="9">
        <v>44859</v>
      </c>
      <c r="B2121">
        <f t="shared" si="132"/>
        <v>25</v>
      </c>
      <c r="C2121">
        <f t="shared" si="133"/>
        <v>10</v>
      </c>
      <c r="D2121">
        <f t="shared" si="134"/>
        <v>2022</v>
      </c>
      <c r="E2121" s="11">
        <v>3.1309999999999998</v>
      </c>
      <c r="F2121" s="11">
        <v>101.54900000000001</v>
      </c>
      <c r="G2121" s="11">
        <v>27.4</v>
      </c>
      <c r="H2121" s="1" t="s">
        <v>0</v>
      </c>
      <c r="I2121">
        <v>34</v>
      </c>
      <c r="J2121">
        <v>30.4</v>
      </c>
      <c r="K2121">
        <v>23.1</v>
      </c>
      <c r="L2121">
        <v>26.6</v>
      </c>
      <c r="M2121">
        <f t="shared" si="135"/>
        <v>1</v>
      </c>
    </row>
    <row r="2122" spans="1:13" x14ac:dyDescent="0.2">
      <c r="A2122" s="9">
        <v>44860</v>
      </c>
      <c r="B2122">
        <f t="shared" si="132"/>
        <v>26</v>
      </c>
      <c r="C2122">
        <f t="shared" si="133"/>
        <v>10</v>
      </c>
      <c r="D2122">
        <f t="shared" si="134"/>
        <v>2022</v>
      </c>
      <c r="E2122" s="11">
        <v>3.1309999999999998</v>
      </c>
      <c r="F2122" s="11">
        <v>101.54900000000001</v>
      </c>
      <c r="G2122" s="11">
        <v>27.4</v>
      </c>
      <c r="H2122" s="1" t="s">
        <v>0</v>
      </c>
      <c r="I2122">
        <v>3.6</v>
      </c>
      <c r="J2122" t="s">
        <v>6</v>
      </c>
      <c r="K2122" t="s">
        <v>6</v>
      </c>
      <c r="L2122">
        <v>25.8</v>
      </c>
      <c r="M2122">
        <f t="shared" si="135"/>
        <v>1</v>
      </c>
    </row>
    <row r="2123" spans="1:13" x14ac:dyDescent="0.2">
      <c r="A2123" s="9">
        <v>44861</v>
      </c>
      <c r="B2123">
        <f t="shared" si="132"/>
        <v>27</v>
      </c>
      <c r="C2123">
        <f t="shared" si="133"/>
        <v>10</v>
      </c>
      <c r="D2123">
        <f t="shared" si="134"/>
        <v>2022</v>
      </c>
      <c r="E2123" s="11">
        <v>3.1309999999999998</v>
      </c>
      <c r="F2123" s="11">
        <v>101.54900000000001</v>
      </c>
      <c r="G2123" s="11">
        <v>27.4</v>
      </c>
      <c r="H2123" s="1" t="s">
        <v>0</v>
      </c>
      <c r="I2123">
        <v>20.3</v>
      </c>
      <c r="J2123" t="s">
        <v>6</v>
      </c>
      <c r="K2123" t="s">
        <v>6</v>
      </c>
      <c r="L2123">
        <v>26.9</v>
      </c>
      <c r="M2123">
        <f t="shared" si="135"/>
        <v>1</v>
      </c>
    </row>
    <row r="2124" spans="1:13" x14ac:dyDescent="0.2">
      <c r="A2124" s="9">
        <v>44862</v>
      </c>
      <c r="B2124">
        <f t="shared" si="132"/>
        <v>28</v>
      </c>
      <c r="C2124">
        <f t="shared" si="133"/>
        <v>10</v>
      </c>
      <c r="D2124">
        <f t="shared" si="134"/>
        <v>2022</v>
      </c>
      <c r="E2124" s="11">
        <v>3.1309999999999998</v>
      </c>
      <c r="F2124" s="11">
        <v>101.54900000000001</v>
      </c>
      <c r="G2124" s="11">
        <v>27.4</v>
      </c>
      <c r="H2124" s="1" t="s">
        <v>0</v>
      </c>
      <c r="I2124">
        <v>4.8</v>
      </c>
      <c r="J2124" t="s">
        <v>6</v>
      </c>
      <c r="K2124">
        <v>24.1</v>
      </c>
      <c r="L2124">
        <v>27.5</v>
      </c>
      <c r="M2124">
        <f t="shared" si="135"/>
        <v>1</v>
      </c>
    </row>
    <row r="2125" spans="1:13" x14ac:dyDescent="0.2">
      <c r="A2125" s="9">
        <v>44863</v>
      </c>
      <c r="B2125">
        <f t="shared" si="132"/>
        <v>29</v>
      </c>
      <c r="C2125">
        <f t="shared" si="133"/>
        <v>10</v>
      </c>
      <c r="D2125">
        <f t="shared" si="134"/>
        <v>2022</v>
      </c>
      <c r="E2125" s="11">
        <v>3.1309999999999998</v>
      </c>
      <c r="F2125" s="11">
        <v>101.54900000000001</v>
      </c>
      <c r="G2125" s="11">
        <v>27.4</v>
      </c>
      <c r="H2125" s="1" t="s">
        <v>0</v>
      </c>
      <c r="I2125">
        <v>4.3</v>
      </c>
      <c r="J2125">
        <v>32.4</v>
      </c>
      <c r="K2125">
        <v>24.9</v>
      </c>
      <c r="L2125">
        <v>27.7</v>
      </c>
      <c r="M2125">
        <f t="shared" si="135"/>
        <v>1</v>
      </c>
    </row>
    <row r="2126" spans="1:13" x14ac:dyDescent="0.2">
      <c r="A2126" s="9">
        <v>44864</v>
      </c>
      <c r="B2126">
        <f t="shared" si="132"/>
        <v>30</v>
      </c>
      <c r="C2126">
        <f t="shared" si="133"/>
        <v>10</v>
      </c>
      <c r="D2126">
        <f t="shared" si="134"/>
        <v>2022</v>
      </c>
      <c r="E2126" s="11">
        <v>3.1309999999999998</v>
      </c>
      <c r="F2126" s="11">
        <v>101.54900000000001</v>
      </c>
      <c r="G2126" s="11">
        <v>27.4</v>
      </c>
      <c r="H2126" s="1" t="s">
        <v>0</v>
      </c>
      <c r="I2126">
        <v>0.8</v>
      </c>
      <c r="J2126" t="s">
        <v>6</v>
      </c>
      <c r="K2126" t="s">
        <v>6</v>
      </c>
      <c r="L2126">
        <v>28.1</v>
      </c>
      <c r="M2126">
        <f t="shared" si="135"/>
        <v>1</v>
      </c>
    </row>
    <row r="2127" spans="1:13" x14ac:dyDescent="0.2">
      <c r="A2127" s="9">
        <v>44865</v>
      </c>
      <c r="B2127">
        <f t="shared" si="132"/>
        <v>31</v>
      </c>
      <c r="C2127">
        <f t="shared" si="133"/>
        <v>10</v>
      </c>
      <c r="D2127">
        <f t="shared" si="134"/>
        <v>2022</v>
      </c>
      <c r="E2127" s="11">
        <v>3.1309999999999998</v>
      </c>
      <c r="F2127" s="11">
        <v>101.54900000000001</v>
      </c>
      <c r="G2127" s="11">
        <v>27.4</v>
      </c>
      <c r="H2127" s="1" t="s">
        <v>0</v>
      </c>
      <c r="I2127">
        <v>31.2</v>
      </c>
      <c r="J2127" t="s">
        <v>6</v>
      </c>
      <c r="K2127">
        <v>23.9</v>
      </c>
      <c r="L2127">
        <v>27.7</v>
      </c>
      <c r="M2127">
        <f t="shared" si="135"/>
        <v>1</v>
      </c>
    </row>
    <row r="2128" spans="1:13" x14ac:dyDescent="0.2">
      <c r="A2128" s="9">
        <v>44866</v>
      </c>
      <c r="B2128">
        <f t="shared" si="132"/>
        <v>1</v>
      </c>
      <c r="C2128">
        <f t="shared" si="133"/>
        <v>11</v>
      </c>
      <c r="D2128">
        <f t="shared" si="134"/>
        <v>2022</v>
      </c>
      <c r="E2128" s="11">
        <v>3.1309999999999998</v>
      </c>
      <c r="F2128" s="11">
        <v>101.54900000000001</v>
      </c>
      <c r="G2128" s="11">
        <v>27.4</v>
      </c>
      <c r="H2128" s="1" t="s">
        <v>0</v>
      </c>
      <c r="I2128">
        <v>6.9</v>
      </c>
      <c r="J2128" t="s">
        <v>6</v>
      </c>
      <c r="K2128" t="s">
        <v>6</v>
      </c>
      <c r="L2128">
        <v>28.3</v>
      </c>
      <c r="M2128">
        <f t="shared" si="135"/>
        <v>1</v>
      </c>
    </row>
    <row r="2129" spans="1:13" x14ac:dyDescent="0.2">
      <c r="A2129" s="9">
        <v>44867</v>
      </c>
      <c r="B2129">
        <f t="shared" si="132"/>
        <v>2</v>
      </c>
      <c r="C2129">
        <f t="shared" si="133"/>
        <v>11</v>
      </c>
      <c r="D2129">
        <f t="shared" si="134"/>
        <v>2022</v>
      </c>
      <c r="E2129" s="11">
        <v>3.1309999999999998</v>
      </c>
      <c r="F2129" s="11">
        <v>101.54900000000001</v>
      </c>
      <c r="G2129" s="11">
        <v>27.4</v>
      </c>
      <c r="H2129" s="1" t="s">
        <v>0</v>
      </c>
      <c r="I2129">
        <v>37.299999999999997</v>
      </c>
      <c r="J2129" t="s">
        <v>6</v>
      </c>
      <c r="K2129">
        <v>24.1</v>
      </c>
      <c r="L2129">
        <v>26.7</v>
      </c>
      <c r="M2129">
        <f t="shared" si="135"/>
        <v>1</v>
      </c>
    </row>
    <row r="2130" spans="1:13" x14ac:dyDescent="0.2">
      <c r="A2130" s="9">
        <v>44868</v>
      </c>
      <c r="B2130">
        <f t="shared" si="132"/>
        <v>3</v>
      </c>
      <c r="C2130">
        <f t="shared" si="133"/>
        <v>11</v>
      </c>
      <c r="D2130">
        <f t="shared" si="134"/>
        <v>2022</v>
      </c>
      <c r="E2130" s="11">
        <v>3.1309999999999998</v>
      </c>
      <c r="F2130" s="11">
        <v>101.54900000000001</v>
      </c>
      <c r="G2130" s="11">
        <v>27.4</v>
      </c>
      <c r="H2130" s="1" t="s">
        <v>0</v>
      </c>
      <c r="I2130">
        <v>0.3</v>
      </c>
      <c r="J2130" t="s">
        <v>6</v>
      </c>
      <c r="K2130" t="s">
        <v>6</v>
      </c>
      <c r="L2130">
        <v>27.4</v>
      </c>
      <c r="M2130">
        <f t="shared" si="135"/>
        <v>1</v>
      </c>
    </row>
    <row r="2131" spans="1:13" x14ac:dyDescent="0.2">
      <c r="A2131" s="9">
        <v>44869</v>
      </c>
      <c r="B2131">
        <f t="shared" si="132"/>
        <v>4</v>
      </c>
      <c r="C2131">
        <f t="shared" si="133"/>
        <v>11</v>
      </c>
      <c r="D2131">
        <f t="shared" si="134"/>
        <v>2022</v>
      </c>
      <c r="E2131" s="11">
        <v>3.1309999999999998</v>
      </c>
      <c r="F2131" s="11">
        <v>101.54900000000001</v>
      </c>
      <c r="G2131" s="11">
        <v>27.4</v>
      </c>
      <c r="H2131" s="1" t="s">
        <v>0</v>
      </c>
      <c r="I2131">
        <v>13</v>
      </c>
      <c r="J2131" t="s">
        <v>6</v>
      </c>
      <c r="K2131">
        <v>24.2</v>
      </c>
      <c r="L2131">
        <v>26.5</v>
      </c>
      <c r="M2131">
        <f t="shared" si="135"/>
        <v>1</v>
      </c>
    </row>
    <row r="2132" spans="1:13" x14ac:dyDescent="0.2">
      <c r="A2132" s="9">
        <v>44870</v>
      </c>
      <c r="B2132">
        <f t="shared" si="132"/>
        <v>5</v>
      </c>
      <c r="C2132">
        <f t="shared" si="133"/>
        <v>11</v>
      </c>
      <c r="D2132">
        <f t="shared" si="134"/>
        <v>2022</v>
      </c>
      <c r="E2132" s="11">
        <v>3.1309999999999998</v>
      </c>
      <c r="F2132" s="11">
        <v>101.54900000000001</v>
      </c>
      <c r="G2132" s="11">
        <v>27.4</v>
      </c>
      <c r="H2132" s="1" t="s">
        <v>0</v>
      </c>
      <c r="I2132">
        <v>7.9</v>
      </c>
      <c r="J2132" t="s">
        <v>6</v>
      </c>
      <c r="K2132">
        <v>24.5</v>
      </c>
      <c r="L2132">
        <v>27.8</v>
      </c>
      <c r="M2132">
        <f t="shared" si="135"/>
        <v>1</v>
      </c>
    </row>
    <row r="2133" spans="1:13" x14ac:dyDescent="0.2">
      <c r="A2133" s="9">
        <v>44871</v>
      </c>
      <c r="B2133">
        <f t="shared" si="132"/>
        <v>6</v>
      </c>
      <c r="C2133">
        <f t="shared" si="133"/>
        <v>11</v>
      </c>
      <c r="D2133">
        <f t="shared" si="134"/>
        <v>2022</v>
      </c>
      <c r="E2133" s="11">
        <v>3.1309999999999998</v>
      </c>
      <c r="F2133" s="11">
        <v>101.54900000000001</v>
      </c>
      <c r="G2133" s="11">
        <v>27.4</v>
      </c>
      <c r="H2133" s="1" t="s">
        <v>0</v>
      </c>
      <c r="I2133">
        <v>0</v>
      </c>
      <c r="J2133" t="s">
        <v>6</v>
      </c>
      <c r="K2133">
        <v>24.9</v>
      </c>
      <c r="L2133">
        <v>26.9</v>
      </c>
      <c r="M2133">
        <f t="shared" si="135"/>
        <v>0</v>
      </c>
    </row>
    <row r="2134" spans="1:13" x14ac:dyDescent="0.2">
      <c r="A2134" s="9">
        <v>44872</v>
      </c>
      <c r="B2134">
        <f t="shared" si="132"/>
        <v>7</v>
      </c>
      <c r="C2134">
        <f t="shared" si="133"/>
        <v>11</v>
      </c>
      <c r="D2134">
        <f t="shared" si="134"/>
        <v>2022</v>
      </c>
      <c r="E2134" s="11">
        <v>3.1309999999999998</v>
      </c>
      <c r="F2134" s="11">
        <v>101.54900000000001</v>
      </c>
      <c r="G2134" s="11">
        <v>27.4</v>
      </c>
      <c r="H2134" s="1" t="s">
        <v>0</v>
      </c>
      <c r="I2134">
        <v>1</v>
      </c>
      <c r="J2134">
        <v>32.6</v>
      </c>
      <c r="K2134">
        <v>24.8</v>
      </c>
      <c r="L2134">
        <v>28</v>
      </c>
      <c r="M2134">
        <f t="shared" si="135"/>
        <v>1</v>
      </c>
    </row>
    <row r="2135" spans="1:13" x14ac:dyDescent="0.2">
      <c r="A2135" s="9">
        <v>44873</v>
      </c>
      <c r="B2135">
        <f t="shared" si="132"/>
        <v>8</v>
      </c>
      <c r="C2135">
        <f t="shared" si="133"/>
        <v>11</v>
      </c>
      <c r="D2135">
        <f t="shared" si="134"/>
        <v>2022</v>
      </c>
      <c r="E2135" s="11">
        <v>3.1309999999999998</v>
      </c>
      <c r="F2135" s="11">
        <v>101.54900000000001</v>
      </c>
      <c r="G2135" s="11">
        <v>27.4</v>
      </c>
      <c r="H2135" s="1" t="s">
        <v>0</v>
      </c>
      <c r="I2135">
        <v>2.2999999999999998</v>
      </c>
      <c r="J2135" t="s">
        <v>6</v>
      </c>
      <c r="K2135" t="s">
        <v>6</v>
      </c>
      <c r="L2135">
        <v>26.9</v>
      </c>
      <c r="M2135">
        <f t="shared" si="135"/>
        <v>1</v>
      </c>
    </row>
    <row r="2136" spans="1:13" x14ac:dyDescent="0.2">
      <c r="A2136" s="9">
        <v>44874</v>
      </c>
      <c r="B2136">
        <f t="shared" si="132"/>
        <v>9</v>
      </c>
      <c r="C2136">
        <f t="shared" si="133"/>
        <v>11</v>
      </c>
      <c r="D2136">
        <f t="shared" si="134"/>
        <v>2022</v>
      </c>
      <c r="E2136" s="11">
        <v>3.1309999999999998</v>
      </c>
      <c r="F2136" s="11">
        <v>101.54900000000001</v>
      </c>
      <c r="G2136" s="11">
        <v>27.4</v>
      </c>
      <c r="H2136" s="1" t="s">
        <v>0</v>
      </c>
      <c r="I2136">
        <v>44.2</v>
      </c>
      <c r="J2136" t="s">
        <v>6</v>
      </c>
      <c r="K2136" t="s">
        <v>6</v>
      </c>
      <c r="L2136">
        <v>26.7</v>
      </c>
      <c r="M2136">
        <f t="shared" si="135"/>
        <v>1</v>
      </c>
    </row>
    <row r="2137" spans="1:13" x14ac:dyDescent="0.2">
      <c r="A2137" s="9">
        <v>44875</v>
      </c>
      <c r="B2137">
        <f t="shared" si="132"/>
        <v>10</v>
      </c>
      <c r="C2137">
        <f t="shared" si="133"/>
        <v>11</v>
      </c>
      <c r="D2137">
        <f t="shared" si="134"/>
        <v>2022</v>
      </c>
      <c r="E2137" s="11">
        <v>3.1309999999999998</v>
      </c>
      <c r="F2137" s="11">
        <v>101.54900000000001</v>
      </c>
      <c r="G2137" s="11">
        <v>27.4</v>
      </c>
      <c r="H2137" s="1" t="s">
        <v>0</v>
      </c>
      <c r="I2137">
        <v>15</v>
      </c>
      <c r="J2137" t="s">
        <v>6</v>
      </c>
      <c r="K2137" t="s">
        <v>6</v>
      </c>
      <c r="L2137">
        <v>25.9</v>
      </c>
      <c r="M2137">
        <f t="shared" si="135"/>
        <v>1</v>
      </c>
    </row>
    <row r="2138" spans="1:13" x14ac:dyDescent="0.2">
      <c r="A2138" s="9">
        <v>44876</v>
      </c>
      <c r="B2138">
        <f t="shared" si="132"/>
        <v>11</v>
      </c>
      <c r="C2138">
        <f t="shared" si="133"/>
        <v>11</v>
      </c>
      <c r="D2138">
        <f t="shared" si="134"/>
        <v>2022</v>
      </c>
      <c r="E2138" s="11">
        <v>3.1309999999999998</v>
      </c>
      <c r="F2138" s="11">
        <v>101.54900000000001</v>
      </c>
      <c r="G2138" s="11">
        <v>27.4</v>
      </c>
      <c r="H2138" s="1" t="s">
        <v>0</v>
      </c>
      <c r="I2138">
        <v>23.1</v>
      </c>
      <c r="J2138" t="s">
        <v>6</v>
      </c>
      <c r="K2138" t="s">
        <v>6</v>
      </c>
      <c r="L2138">
        <v>25.9</v>
      </c>
      <c r="M2138">
        <f t="shared" si="135"/>
        <v>1</v>
      </c>
    </row>
    <row r="2139" spans="1:13" x14ac:dyDescent="0.2">
      <c r="A2139" s="9">
        <v>44877</v>
      </c>
      <c r="B2139">
        <f t="shared" si="132"/>
        <v>12</v>
      </c>
      <c r="C2139">
        <f t="shared" si="133"/>
        <v>11</v>
      </c>
      <c r="D2139">
        <f t="shared" si="134"/>
        <v>2022</v>
      </c>
      <c r="E2139" s="11">
        <v>3.1309999999999998</v>
      </c>
      <c r="F2139" s="11">
        <v>101.54900000000001</v>
      </c>
      <c r="G2139" s="11">
        <v>27.4</v>
      </c>
      <c r="H2139" s="1" t="s">
        <v>0</v>
      </c>
      <c r="I2139">
        <v>16.3</v>
      </c>
      <c r="J2139" t="s">
        <v>6</v>
      </c>
      <c r="K2139">
        <v>24</v>
      </c>
      <c r="L2139">
        <v>26.1</v>
      </c>
      <c r="M2139">
        <f t="shared" si="135"/>
        <v>1</v>
      </c>
    </row>
    <row r="2140" spans="1:13" x14ac:dyDescent="0.2">
      <c r="A2140" s="9">
        <v>44878</v>
      </c>
      <c r="B2140">
        <f t="shared" si="132"/>
        <v>13</v>
      </c>
      <c r="C2140">
        <f t="shared" si="133"/>
        <v>11</v>
      </c>
      <c r="D2140">
        <f t="shared" si="134"/>
        <v>2022</v>
      </c>
      <c r="E2140" s="11">
        <v>3.1309999999999998</v>
      </c>
      <c r="F2140" s="11">
        <v>101.54900000000001</v>
      </c>
      <c r="G2140" s="11">
        <v>27.4</v>
      </c>
      <c r="H2140" s="1" t="s">
        <v>0</v>
      </c>
      <c r="I2140">
        <v>3.3</v>
      </c>
      <c r="J2140" t="s">
        <v>6</v>
      </c>
      <c r="K2140">
        <v>24.1</v>
      </c>
      <c r="L2140">
        <v>26.4</v>
      </c>
      <c r="M2140">
        <f t="shared" si="135"/>
        <v>1</v>
      </c>
    </row>
    <row r="2141" spans="1:13" x14ac:dyDescent="0.2">
      <c r="A2141" s="9">
        <v>44879</v>
      </c>
      <c r="B2141">
        <f t="shared" si="132"/>
        <v>14</v>
      </c>
      <c r="C2141">
        <f t="shared" si="133"/>
        <v>11</v>
      </c>
      <c r="D2141">
        <f t="shared" si="134"/>
        <v>2022</v>
      </c>
      <c r="E2141" s="11">
        <v>3.1309999999999998</v>
      </c>
      <c r="F2141" s="11">
        <v>101.54900000000001</v>
      </c>
      <c r="G2141" s="11">
        <v>27.4</v>
      </c>
      <c r="H2141" s="1" t="s">
        <v>0</v>
      </c>
      <c r="I2141">
        <v>14.5</v>
      </c>
      <c r="J2141" t="s">
        <v>6</v>
      </c>
      <c r="K2141">
        <v>24.6</v>
      </c>
      <c r="L2141">
        <v>26.9</v>
      </c>
      <c r="M2141">
        <f t="shared" si="135"/>
        <v>1</v>
      </c>
    </row>
    <row r="2142" spans="1:13" x14ac:dyDescent="0.2">
      <c r="A2142" s="9">
        <v>44880</v>
      </c>
      <c r="B2142">
        <f t="shared" si="132"/>
        <v>15</v>
      </c>
      <c r="C2142">
        <f t="shared" si="133"/>
        <v>11</v>
      </c>
      <c r="D2142">
        <f t="shared" si="134"/>
        <v>2022</v>
      </c>
      <c r="E2142" s="11">
        <v>3.1309999999999998</v>
      </c>
      <c r="F2142" s="11">
        <v>101.54900000000001</v>
      </c>
      <c r="G2142" s="11">
        <v>27.4</v>
      </c>
      <c r="H2142" s="1" t="s">
        <v>0</v>
      </c>
      <c r="I2142">
        <v>2.2999999999999998</v>
      </c>
      <c r="J2142" t="s">
        <v>6</v>
      </c>
      <c r="K2142">
        <v>24.8</v>
      </c>
      <c r="L2142">
        <v>28.1</v>
      </c>
      <c r="M2142">
        <f t="shared" si="135"/>
        <v>1</v>
      </c>
    </row>
    <row r="2143" spans="1:13" x14ac:dyDescent="0.2">
      <c r="A2143" s="9">
        <v>44881</v>
      </c>
      <c r="B2143">
        <f t="shared" si="132"/>
        <v>16</v>
      </c>
      <c r="C2143">
        <f t="shared" si="133"/>
        <v>11</v>
      </c>
      <c r="D2143">
        <f t="shared" si="134"/>
        <v>2022</v>
      </c>
      <c r="E2143" s="11">
        <v>3.1309999999999998</v>
      </c>
      <c r="F2143" s="11">
        <v>101.54900000000001</v>
      </c>
      <c r="G2143" s="11">
        <v>27.4</v>
      </c>
      <c r="H2143" s="1" t="s">
        <v>0</v>
      </c>
      <c r="I2143">
        <v>0</v>
      </c>
      <c r="J2143" t="s">
        <v>6</v>
      </c>
      <c r="K2143" t="s">
        <v>6</v>
      </c>
      <c r="L2143">
        <v>28.3</v>
      </c>
      <c r="M2143">
        <f t="shared" si="135"/>
        <v>0</v>
      </c>
    </row>
    <row r="2144" spans="1:13" x14ac:dyDescent="0.2">
      <c r="A2144" s="9">
        <v>44882</v>
      </c>
      <c r="B2144">
        <f t="shared" si="132"/>
        <v>17</v>
      </c>
      <c r="C2144">
        <f t="shared" si="133"/>
        <v>11</v>
      </c>
      <c r="D2144">
        <f t="shared" si="134"/>
        <v>2022</v>
      </c>
      <c r="E2144" s="11">
        <v>3.1309999999999998</v>
      </c>
      <c r="F2144" s="11">
        <v>101.54900000000001</v>
      </c>
      <c r="G2144" s="11">
        <v>27.4</v>
      </c>
      <c r="H2144" s="1" t="s">
        <v>0</v>
      </c>
      <c r="I2144">
        <v>69.099999999999994</v>
      </c>
      <c r="J2144">
        <v>32.200000000000003</v>
      </c>
      <c r="K2144">
        <v>23.5</v>
      </c>
      <c r="L2144">
        <v>27.9</v>
      </c>
      <c r="M2144">
        <f t="shared" si="135"/>
        <v>1</v>
      </c>
    </row>
    <row r="2145" spans="1:13" x14ac:dyDescent="0.2">
      <c r="A2145" s="9">
        <v>44883</v>
      </c>
      <c r="B2145">
        <f t="shared" si="132"/>
        <v>18</v>
      </c>
      <c r="C2145">
        <f t="shared" si="133"/>
        <v>11</v>
      </c>
      <c r="D2145">
        <f t="shared" si="134"/>
        <v>2022</v>
      </c>
      <c r="E2145" s="11">
        <v>3.1309999999999998</v>
      </c>
      <c r="F2145" s="11">
        <v>101.54900000000001</v>
      </c>
      <c r="G2145" s="11">
        <v>27.4</v>
      </c>
      <c r="H2145" s="1" t="s">
        <v>0</v>
      </c>
      <c r="I2145">
        <v>0.5</v>
      </c>
      <c r="J2145" t="s">
        <v>6</v>
      </c>
      <c r="K2145" t="s">
        <v>6</v>
      </c>
      <c r="L2145">
        <v>28.7</v>
      </c>
      <c r="M2145">
        <f t="shared" si="135"/>
        <v>1</v>
      </c>
    </row>
    <row r="2146" spans="1:13" x14ac:dyDescent="0.2">
      <c r="A2146" s="9">
        <v>44884</v>
      </c>
      <c r="B2146">
        <f t="shared" si="132"/>
        <v>19</v>
      </c>
      <c r="C2146">
        <f t="shared" si="133"/>
        <v>11</v>
      </c>
      <c r="D2146">
        <f t="shared" si="134"/>
        <v>2022</v>
      </c>
      <c r="E2146" s="11">
        <v>3.1309999999999998</v>
      </c>
      <c r="F2146" s="11">
        <v>101.54900000000001</v>
      </c>
      <c r="G2146" s="11">
        <v>27.4</v>
      </c>
      <c r="H2146" s="1" t="s">
        <v>0</v>
      </c>
      <c r="I2146">
        <v>13</v>
      </c>
      <c r="J2146" t="s">
        <v>6</v>
      </c>
      <c r="K2146">
        <v>23.5</v>
      </c>
      <c r="L2146">
        <v>26.2</v>
      </c>
      <c r="M2146">
        <f t="shared" si="135"/>
        <v>1</v>
      </c>
    </row>
    <row r="2147" spans="1:13" x14ac:dyDescent="0.2">
      <c r="A2147" s="9">
        <v>44885</v>
      </c>
      <c r="B2147">
        <f t="shared" si="132"/>
        <v>20</v>
      </c>
      <c r="C2147">
        <f t="shared" si="133"/>
        <v>11</v>
      </c>
      <c r="D2147">
        <f t="shared" si="134"/>
        <v>2022</v>
      </c>
      <c r="E2147" s="11">
        <v>3.1309999999999998</v>
      </c>
      <c r="F2147" s="11">
        <v>101.54900000000001</v>
      </c>
      <c r="G2147" s="11">
        <v>27.4</v>
      </c>
      <c r="H2147" s="1" t="s">
        <v>0</v>
      </c>
      <c r="I2147">
        <v>17.3</v>
      </c>
      <c r="J2147">
        <v>32.4</v>
      </c>
      <c r="K2147">
        <v>23.7</v>
      </c>
      <c r="L2147">
        <v>28.1</v>
      </c>
      <c r="M2147">
        <f t="shared" si="135"/>
        <v>1</v>
      </c>
    </row>
    <row r="2148" spans="1:13" x14ac:dyDescent="0.2">
      <c r="A2148" s="9">
        <v>44886</v>
      </c>
      <c r="B2148">
        <f t="shared" si="132"/>
        <v>21</v>
      </c>
      <c r="C2148">
        <f t="shared" si="133"/>
        <v>11</v>
      </c>
      <c r="D2148">
        <f t="shared" si="134"/>
        <v>2022</v>
      </c>
      <c r="E2148" s="11">
        <v>3.1309999999999998</v>
      </c>
      <c r="F2148" s="11">
        <v>101.54900000000001</v>
      </c>
      <c r="G2148" s="11">
        <v>27.4</v>
      </c>
      <c r="H2148" s="1" t="s">
        <v>0</v>
      </c>
      <c r="I2148">
        <v>5.0999999999999996</v>
      </c>
      <c r="J2148" t="s">
        <v>6</v>
      </c>
      <c r="K2148">
        <v>24.4</v>
      </c>
      <c r="L2148">
        <v>27.9</v>
      </c>
      <c r="M2148">
        <f t="shared" si="135"/>
        <v>1</v>
      </c>
    </row>
    <row r="2149" spans="1:13" x14ac:dyDescent="0.2">
      <c r="A2149" s="9">
        <v>44887</v>
      </c>
      <c r="B2149">
        <f t="shared" si="132"/>
        <v>22</v>
      </c>
      <c r="C2149">
        <f t="shared" si="133"/>
        <v>11</v>
      </c>
      <c r="D2149">
        <f t="shared" si="134"/>
        <v>2022</v>
      </c>
      <c r="E2149" s="11">
        <v>3.1309999999999998</v>
      </c>
      <c r="F2149" s="11">
        <v>101.54900000000001</v>
      </c>
      <c r="G2149" s="11">
        <v>27.4</v>
      </c>
      <c r="H2149" s="1" t="s">
        <v>0</v>
      </c>
      <c r="I2149">
        <v>0.3</v>
      </c>
      <c r="J2149" t="s">
        <v>6</v>
      </c>
      <c r="K2149" t="s">
        <v>6</v>
      </c>
      <c r="L2149">
        <v>27.4</v>
      </c>
      <c r="M2149">
        <f t="shared" si="135"/>
        <v>1</v>
      </c>
    </row>
    <row r="2150" spans="1:13" x14ac:dyDescent="0.2">
      <c r="A2150" s="9">
        <v>44888</v>
      </c>
      <c r="B2150">
        <f t="shared" si="132"/>
        <v>23</v>
      </c>
      <c r="C2150">
        <f t="shared" si="133"/>
        <v>11</v>
      </c>
      <c r="D2150">
        <f t="shared" si="134"/>
        <v>2022</v>
      </c>
      <c r="E2150" s="11">
        <v>3.1309999999999998</v>
      </c>
      <c r="F2150" s="11">
        <v>101.54900000000001</v>
      </c>
      <c r="G2150" s="11">
        <v>27.4</v>
      </c>
      <c r="H2150" s="1" t="s">
        <v>0</v>
      </c>
      <c r="I2150">
        <v>10.9</v>
      </c>
      <c r="J2150" t="s">
        <v>6</v>
      </c>
      <c r="K2150">
        <v>22.7</v>
      </c>
      <c r="L2150">
        <v>27.7</v>
      </c>
      <c r="M2150">
        <f t="shared" si="135"/>
        <v>1</v>
      </c>
    </row>
    <row r="2151" spans="1:13" x14ac:dyDescent="0.2">
      <c r="A2151" s="9">
        <v>44889</v>
      </c>
      <c r="B2151">
        <f t="shared" si="132"/>
        <v>24</v>
      </c>
      <c r="C2151">
        <f t="shared" si="133"/>
        <v>11</v>
      </c>
      <c r="D2151">
        <f t="shared" si="134"/>
        <v>2022</v>
      </c>
      <c r="E2151" s="11">
        <v>3.1309999999999998</v>
      </c>
      <c r="F2151" s="11">
        <v>101.54900000000001</v>
      </c>
      <c r="G2151" s="11">
        <v>27.4</v>
      </c>
      <c r="H2151" s="1" t="s">
        <v>0</v>
      </c>
      <c r="I2151">
        <v>0</v>
      </c>
      <c r="J2151" t="s">
        <v>6</v>
      </c>
      <c r="K2151">
        <v>23.6</v>
      </c>
      <c r="L2151">
        <v>28.2</v>
      </c>
      <c r="M2151">
        <f t="shared" si="135"/>
        <v>0</v>
      </c>
    </row>
    <row r="2152" spans="1:13" x14ac:dyDescent="0.2">
      <c r="A2152" s="9">
        <v>44890</v>
      </c>
      <c r="B2152">
        <f t="shared" si="132"/>
        <v>25</v>
      </c>
      <c r="C2152">
        <f t="shared" si="133"/>
        <v>11</v>
      </c>
      <c r="D2152">
        <f t="shared" si="134"/>
        <v>2022</v>
      </c>
      <c r="E2152" s="11">
        <v>3.1309999999999998</v>
      </c>
      <c r="F2152" s="11">
        <v>101.54900000000001</v>
      </c>
      <c r="G2152" s="11">
        <v>27.4</v>
      </c>
      <c r="H2152" s="1" t="s">
        <v>0</v>
      </c>
      <c r="I2152">
        <v>12.7</v>
      </c>
      <c r="J2152">
        <v>32.6</v>
      </c>
      <c r="K2152">
        <v>24.6</v>
      </c>
      <c r="L2152">
        <v>28.4</v>
      </c>
      <c r="M2152">
        <f t="shared" si="135"/>
        <v>1</v>
      </c>
    </row>
    <row r="2153" spans="1:13" x14ac:dyDescent="0.2">
      <c r="A2153" s="9">
        <v>44891</v>
      </c>
      <c r="B2153">
        <f t="shared" si="132"/>
        <v>26</v>
      </c>
      <c r="C2153">
        <f t="shared" si="133"/>
        <v>11</v>
      </c>
      <c r="D2153">
        <f t="shared" si="134"/>
        <v>2022</v>
      </c>
      <c r="E2153" s="11">
        <v>3.1309999999999998</v>
      </c>
      <c r="F2153" s="11">
        <v>101.54900000000001</v>
      </c>
      <c r="G2153" s="11">
        <v>27.4</v>
      </c>
      <c r="H2153" s="1" t="s">
        <v>0</v>
      </c>
      <c r="I2153">
        <v>0</v>
      </c>
      <c r="J2153" t="s">
        <v>6</v>
      </c>
      <c r="K2153">
        <v>24.6</v>
      </c>
      <c r="L2153">
        <v>28.7</v>
      </c>
      <c r="M2153">
        <f t="shared" si="135"/>
        <v>0</v>
      </c>
    </row>
    <row r="2154" spans="1:13" x14ac:dyDescent="0.2">
      <c r="A2154" s="9">
        <v>44892</v>
      </c>
      <c r="B2154">
        <f t="shared" si="132"/>
        <v>27</v>
      </c>
      <c r="C2154">
        <f t="shared" si="133"/>
        <v>11</v>
      </c>
      <c r="D2154">
        <f t="shared" si="134"/>
        <v>2022</v>
      </c>
      <c r="E2154" s="11">
        <v>3.1309999999999998</v>
      </c>
      <c r="F2154" s="11">
        <v>101.54900000000001</v>
      </c>
      <c r="G2154" s="11">
        <v>27.4</v>
      </c>
      <c r="H2154" s="1" t="s">
        <v>0</v>
      </c>
      <c r="I2154">
        <v>0</v>
      </c>
      <c r="J2154" t="s">
        <v>6</v>
      </c>
      <c r="K2154" t="s">
        <v>6</v>
      </c>
      <c r="L2154">
        <v>26.6</v>
      </c>
      <c r="M2154">
        <f t="shared" si="135"/>
        <v>0</v>
      </c>
    </row>
    <row r="2155" spans="1:13" x14ac:dyDescent="0.2">
      <c r="A2155" s="9">
        <v>44893</v>
      </c>
      <c r="B2155">
        <f t="shared" si="132"/>
        <v>28</v>
      </c>
      <c r="C2155">
        <f t="shared" si="133"/>
        <v>11</v>
      </c>
      <c r="D2155">
        <f t="shared" si="134"/>
        <v>2022</v>
      </c>
      <c r="E2155" s="11">
        <v>3.1309999999999998</v>
      </c>
      <c r="F2155" s="11">
        <v>101.54900000000001</v>
      </c>
      <c r="G2155" s="11">
        <v>27.4</v>
      </c>
      <c r="H2155" s="1" t="s">
        <v>0</v>
      </c>
      <c r="I2155">
        <v>2.8</v>
      </c>
      <c r="J2155" t="s">
        <v>6</v>
      </c>
      <c r="K2155">
        <v>24</v>
      </c>
      <c r="L2155">
        <v>27.6</v>
      </c>
      <c r="M2155">
        <f t="shared" si="135"/>
        <v>1</v>
      </c>
    </row>
    <row r="2156" spans="1:13" x14ac:dyDescent="0.2">
      <c r="A2156" s="9">
        <v>44894</v>
      </c>
      <c r="B2156">
        <f t="shared" si="132"/>
        <v>29</v>
      </c>
      <c r="C2156">
        <f t="shared" si="133"/>
        <v>11</v>
      </c>
      <c r="D2156">
        <f t="shared" si="134"/>
        <v>2022</v>
      </c>
      <c r="E2156" s="11">
        <v>3.1309999999999998</v>
      </c>
      <c r="F2156" s="11">
        <v>101.54900000000001</v>
      </c>
      <c r="G2156" s="11">
        <v>27.4</v>
      </c>
      <c r="H2156" s="1" t="s">
        <v>0</v>
      </c>
      <c r="I2156">
        <v>0</v>
      </c>
      <c r="J2156" t="s">
        <v>6</v>
      </c>
      <c r="K2156" t="s">
        <v>6</v>
      </c>
      <c r="L2156">
        <v>25.6</v>
      </c>
      <c r="M2156">
        <f t="shared" si="135"/>
        <v>0</v>
      </c>
    </row>
    <row r="2157" spans="1:13" x14ac:dyDescent="0.2">
      <c r="A2157" s="9">
        <v>44895</v>
      </c>
      <c r="B2157">
        <f t="shared" si="132"/>
        <v>30</v>
      </c>
      <c r="C2157">
        <f t="shared" si="133"/>
        <v>11</v>
      </c>
      <c r="D2157">
        <f t="shared" si="134"/>
        <v>2022</v>
      </c>
      <c r="E2157" s="11">
        <v>3.1309999999999998</v>
      </c>
      <c r="F2157" s="11">
        <v>101.54900000000001</v>
      </c>
      <c r="G2157" s="11">
        <v>27.4</v>
      </c>
      <c r="H2157" s="1" t="s">
        <v>0</v>
      </c>
      <c r="I2157">
        <v>61</v>
      </c>
      <c r="J2157" t="s">
        <v>6</v>
      </c>
      <c r="K2157">
        <v>23.7</v>
      </c>
      <c r="L2157">
        <v>26.6</v>
      </c>
      <c r="M2157">
        <f t="shared" si="135"/>
        <v>1</v>
      </c>
    </row>
    <row r="2158" spans="1:13" x14ac:dyDescent="0.2">
      <c r="A2158" s="9">
        <v>44896</v>
      </c>
      <c r="B2158">
        <f t="shared" si="132"/>
        <v>1</v>
      </c>
      <c r="C2158">
        <f t="shared" si="133"/>
        <v>12</v>
      </c>
      <c r="D2158">
        <f t="shared" si="134"/>
        <v>2022</v>
      </c>
      <c r="E2158" s="11">
        <v>3.1309999999999998</v>
      </c>
      <c r="F2158" s="11">
        <v>101.54900000000001</v>
      </c>
      <c r="G2158" s="11">
        <v>27.4</v>
      </c>
      <c r="H2158" s="1" t="s">
        <v>0</v>
      </c>
      <c r="I2158">
        <v>15</v>
      </c>
      <c r="J2158" t="s">
        <v>6</v>
      </c>
      <c r="K2158">
        <v>23.8</v>
      </c>
      <c r="L2158">
        <v>27.2</v>
      </c>
      <c r="M2158">
        <f t="shared" si="135"/>
        <v>1</v>
      </c>
    </row>
    <row r="2159" spans="1:13" x14ac:dyDescent="0.2">
      <c r="A2159" s="9">
        <v>44897</v>
      </c>
      <c r="B2159">
        <f t="shared" si="132"/>
        <v>2</v>
      </c>
      <c r="C2159">
        <f t="shared" si="133"/>
        <v>12</v>
      </c>
      <c r="D2159">
        <f t="shared" si="134"/>
        <v>2022</v>
      </c>
      <c r="E2159" s="11">
        <v>3.1309999999999998</v>
      </c>
      <c r="F2159" s="11">
        <v>101.54900000000001</v>
      </c>
      <c r="G2159" s="11">
        <v>27.4</v>
      </c>
      <c r="H2159" s="1" t="s">
        <v>0</v>
      </c>
      <c r="I2159">
        <v>0.3</v>
      </c>
      <c r="J2159">
        <v>32.1</v>
      </c>
      <c r="K2159" t="s">
        <v>6</v>
      </c>
      <c r="L2159">
        <v>26.6</v>
      </c>
      <c r="M2159">
        <f t="shared" si="135"/>
        <v>1</v>
      </c>
    </row>
    <row r="2160" spans="1:13" x14ac:dyDescent="0.2">
      <c r="A2160" s="9">
        <v>44898</v>
      </c>
      <c r="B2160">
        <f t="shared" si="132"/>
        <v>3</v>
      </c>
      <c r="C2160">
        <f t="shared" si="133"/>
        <v>12</v>
      </c>
      <c r="D2160">
        <f t="shared" si="134"/>
        <v>2022</v>
      </c>
      <c r="E2160" s="11">
        <v>3.1309999999999998</v>
      </c>
      <c r="F2160" s="11">
        <v>101.54900000000001</v>
      </c>
      <c r="G2160" s="11">
        <v>27.4</v>
      </c>
      <c r="H2160" s="1" t="s">
        <v>0</v>
      </c>
      <c r="I2160">
        <v>31.2</v>
      </c>
      <c r="J2160" t="s">
        <v>6</v>
      </c>
      <c r="K2160">
        <v>24</v>
      </c>
      <c r="L2160">
        <v>26.9</v>
      </c>
      <c r="M2160">
        <f t="shared" si="135"/>
        <v>1</v>
      </c>
    </row>
    <row r="2161" spans="1:13" x14ac:dyDescent="0.2">
      <c r="A2161" s="9">
        <v>44899</v>
      </c>
      <c r="B2161">
        <f t="shared" si="132"/>
        <v>4</v>
      </c>
      <c r="C2161">
        <f t="shared" si="133"/>
        <v>12</v>
      </c>
      <c r="D2161">
        <f t="shared" si="134"/>
        <v>2022</v>
      </c>
      <c r="E2161" s="11">
        <v>3.1309999999999998</v>
      </c>
      <c r="F2161" s="11">
        <v>101.54900000000001</v>
      </c>
      <c r="G2161" s="11">
        <v>27.4</v>
      </c>
      <c r="H2161" s="1" t="s">
        <v>0</v>
      </c>
      <c r="I2161">
        <v>2</v>
      </c>
      <c r="J2161" t="s">
        <v>6</v>
      </c>
      <c r="K2161">
        <v>24.7</v>
      </c>
      <c r="L2161">
        <v>27.9</v>
      </c>
      <c r="M2161">
        <f t="shared" si="135"/>
        <v>1</v>
      </c>
    </row>
    <row r="2162" spans="1:13" x14ac:dyDescent="0.2">
      <c r="A2162" s="9">
        <v>44900</v>
      </c>
      <c r="B2162">
        <f t="shared" si="132"/>
        <v>5</v>
      </c>
      <c r="C2162">
        <f t="shared" si="133"/>
        <v>12</v>
      </c>
      <c r="D2162">
        <f t="shared" si="134"/>
        <v>2022</v>
      </c>
      <c r="E2162" s="11">
        <v>3.1309999999999998</v>
      </c>
      <c r="F2162" s="11">
        <v>101.54900000000001</v>
      </c>
      <c r="G2162" s="11">
        <v>27.4</v>
      </c>
      <c r="H2162" s="1" t="s">
        <v>0</v>
      </c>
      <c r="I2162">
        <v>1</v>
      </c>
      <c r="J2162" t="s">
        <v>6</v>
      </c>
      <c r="K2162">
        <v>25.2</v>
      </c>
      <c r="L2162">
        <v>29.1</v>
      </c>
      <c r="M2162">
        <f t="shared" si="135"/>
        <v>1</v>
      </c>
    </row>
    <row r="2163" spans="1:13" x14ac:dyDescent="0.2">
      <c r="A2163" s="9">
        <v>44901</v>
      </c>
      <c r="B2163">
        <f t="shared" si="132"/>
        <v>6</v>
      </c>
      <c r="C2163">
        <f t="shared" si="133"/>
        <v>12</v>
      </c>
      <c r="D2163">
        <f t="shared" si="134"/>
        <v>2022</v>
      </c>
      <c r="E2163" s="11">
        <v>3.1309999999999998</v>
      </c>
      <c r="F2163" s="11">
        <v>101.54900000000001</v>
      </c>
      <c r="G2163" s="11">
        <v>27.4</v>
      </c>
      <c r="H2163" s="1" t="s">
        <v>0</v>
      </c>
      <c r="I2163">
        <v>3</v>
      </c>
      <c r="J2163" t="s">
        <v>6</v>
      </c>
      <c r="K2163" t="s">
        <v>6</v>
      </c>
      <c r="L2163">
        <v>28.1</v>
      </c>
      <c r="M2163">
        <f t="shared" si="135"/>
        <v>1</v>
      </c>
    </row>
    <row r="2164" spans="1:13" x14ac:dyDescent="0.2">
      <c r="A2164" s="9">
        <v>44902</v>
      </c>
      <c r="B2164">
        <f t="shared" si="132"/>
        <v>7</v>
      </c>
      <c r="C2164">
        <f t="shared" si="133"/>
        <v>12</v>
      </c>
      <c r="D2164">
        <f t="shared" si="134"/>
        <v>2022</v>
      </c>
      <c r="E2164" s="11">
        <v>3.1309999999999998</v>
      </c>
      <c r="F2164" s="11">
        <v>101.54900000000001</v>
      </c>
      <c r="G2164" s="11">
        <v>27.4</v>
      </c>
      <c r="H2164" s="1" t="s">
        <v>0</v>
      </c>
      <c r="I2164">
        <v>22.6</v>
      </c>
      <c r="J2164" t="s">
        <v>6</v>
      </c>
      <c r="K2164">
        <v>24.6</v>
      </c>
      <c r="L2164">
        <v>28.4</v>
      </c>
      <c r="M2164">
        <f t="shared" si="135"/>
        <v>1</v>
      </c>
    </row>
    <row r="2165" spans="1:13" x14ac:dyDescent="0.2">
      <c r="A2165" s="9">
        <v>44903</v>
      </c>
      <c r="B2165">
        <f t="shared" si="132"/>
        <v>8</v>
      </c>
      <c r="C2165">
        <f t="shared" si="133"/>
        <v>12</v>
      </c>
      <c r="D2165">
        <f t="shared" si="134"/>
        <v>2022</v>
      </c>
      <c r="E2165" s="11">
        <v>3.1309999999999998</v>
      </c>
      <c r="F2165" s="11">
        <v>101.54900000000001</v>
      </c>
      <c r="G2165" s="11">
        <v>27.4</v>
      </c>
      <c r="H2165" s="1" t="s">
        <v>0</v>
      </c>
      <c r="I2165">
        <v>0.3</v>
      </c>
      <c r="J2165" t="s">
        <v>6</v>
      </c>
      <c r="K2165" t="s">
        <v>6</v>
      </c>
      <c r="L2165">
        <v>25.8</v>
      </c>
      <c r="M2165">
        <f t="shared" si="135"/>
        <v>1</v>
      </c>
    </row>
    <row r="2166" spans="1:13" x14ac:dyDescent="0.2">
      <c r="A2166" s="9">
        <v>44904</v>
      </c>
      <c r="B2166">
        <f t="shared" si="132"/>
        <v>9</v>
      </c>
      <c r="C2166">
        <f t="shared" si="133"/>
        <v>12</v>
      </c>
      <c r="D2166">
        <f t="shared" si="134"/>
        <v>2022</v>
      </c>
      <c r="E2166" s="11">
        <v>3.1309999999999998</v>
      </c>
      <c r="F2166" s="11">
        <v>101.54900000000001</v>
      </c>
      <c r="G2166" s="11">
        <v>27.4</v>
      </c>
      <c r="H2166" s="1" t="s">
        <v>0</v>
      </c>
      <c r="I2166">
        <v>9.9</v>
      </c>
      <c r="J2166">
        <v>29.2</v>
      </c>
      <c r="K2166" t="s">
        <v>6</v>
      </c>
      <c r="L2166">
        <v>25</v>
      </c>
      <c r="M2166">
        <f t="shared" si="135"/>
        <v>1</v>
      </c>
    </row>
    <row r="2167" spans="1:13" x14ac:dyDescent="0.2">
      <c r="A2167" s="9">
        <v>44905</v>
      </c>
      <c r="B2167">
        <f t="shared" si="132"/>
        <v>10</v>
      </c>
      <c r="C2167">
        <f t="shared" si="133"/>
        <v>12</v>
      </c>
      <c r="D2167">
        <f t="shared" si="134"/>
        <v>2022</v>
      </c>
      <c r="E2167" s="11">
        <v>3.1309999999999998</v>
      </c>
      <c r="F2167" s="11">
        <v>101.54900000000001</v>
      </c>
      <c r="G2167" s="11">
        <v>27.4</v>
      </c>
      <c r="H2167" s="1" t="s">
        <v>0</v>
      </c>
      <c r="I2167">
        <v>10.7</v>
      </c>
      <c r="J2167" t="s">
        <v>6</v>
      </c>
      <c r="K2167">
        <v>23.2</v>
      </c>
      <c r="L2167">
        <v>25.8</v>
      </c>
      <c r="M2167">
        <f t="shared" si="135"/>
        <v>1</v>
      </c>
    </row>
    <row r="2168" spans="1:13" x14ac:dyDescent="0.2">
      <c r="A2168" s="9">
        <v>44906</v>
      </c>
      <c r="B2168">
        <f t="shared" si="132"/>
        <v>11</v>
      </c>
      <c r="C2168">
        <f t="shared" si="133"/>
        <v>12</v>
      </c>
      <c r="D2168">
        <f t="shared" si="134"/>
        <v>2022</v>
      </c>
      <c r="E2168" s="11">
        <v>3.1309999999999998</v>
      </c>
      <c r="F2168" s="11">
        <v>101.54900000000001</v>
      </c>
      <c r="G2168" s="11">
        <v>27.4</v>
      </c>
      <c r="H2168" s="1" t="s">
        <v>0</v>
      </c>
      <c r="I2168">
        <v>44.7</v>
      </c>
      <c r="J2168" t="s">
        <v>6</v>
      </c>
      <c r="K2168">
        <v>23.9</v>
      </c>
      <c r="L2168">
        <v>25.4</v>
      </c>
      <c r="M2168">
        <f t="shared" si="135"/>
        <v>1</v>
      </c>
    </row>
    <row r="2169" spans="1:13" x14ac:dyDescent="0.2">
      <c r="A2169" s="9">
        <v>44907</v>
      </c>
      <c r="B2169">
        <f t="shared" si="132"/>
        <v>12</v>
      </c>
      <c r="C2169">
        <f t="shared" si="133"/>
        <v>12</v>
      </c>
      <c r="D2169">
        <f t="shared" si="134"/>
        <v>2022</v>
      </c>
      <c r="E2169" s="11">
        <v>3.1309999999999998</v>
      </c>
      <c r="F2169" s="11">
        <v>101.54900000000001</v>
      </c>
      <c r="G2169" s="11">
        <v>27.4</v>
      </c>
      <c r="H2169" s="1" t="s">
        <v>0</v>
      </c>
      <c r="I2169">
        <v>14</v>
      </c>
      <c r="J2169">
        <v>31.1</v>
      </c>
      <c r="K2169" t="s">
        <v>6</v>
      </c>
      <c r="L2169">
        <v>25.5</v>
      </c>
      <c r="M2169">
        <f t="shared" si="135"/>
        <v>1</v>
      </c>
    </row>
    <row r="2170" spans="1:13" x14ac:dyDescent="0.2">
      <c r="A2170" s="9">
        <v>44908</v>
      </c>
      <c r="B2170">
        <f t="shared" si="132"/>
        <v>13</v>
      </c>
      <c r="C2170">
        <f t="shared" si="133"/>
        <v>12</v>
      </c>
      <c r="D2170">
        <f t="shared" si="134"/>
        <v>2022</v>
      </c>
      <c r="E2170" s="11">
        <v>3.1309999999999998</v>
      </c>
      <c r="F2170" s="11">
        <v>101.54900000000001</v>
      </c>
      <c r="G2170" s="11">
        <v>27.4</v>
      </c>
      <c r="H2170" s="1" t="s">
        <v>0</v>
      </c>
      <c r="I2170">
        <v>71.900000000000006</v>
      </c>
      <c r="J2170" t="s">
        <v>6</v>
      </c>
      <c r="K2170">
        <v>23.3</v>
      </c>
      <c r="L2170">
        <v>26.7</v>
      </c>
      <c r="M2170">
        <f t="shared" si="135"/>
        <v>1</v>
      </c>
    </row>
    <row r="2171" spans="1:13" x14ac:dyDescent="0.2">
      <c r="A2171" s="9">
        <v>44909</v>
      </c>
      <c r="B2171">
        <f t="shared" si="132"/>
        <v>14</v>
      </c>
      <c r="C2171">
        <f t="shared" si="133"/>
        <v>12</v>
      </c>
      <c r="D2171">
        <f t="shared" si="134"/>
        <v>2022</v>
      </c>
      <c r="E2171" s="11">
        <v>3.1309999999999998</v>
      </c>
      <c r="F2171" s="11">
        <v>101.54900000000001</v>
      </c>
      <c r="G2171" s="11">
        <v>27.4</v>
      </c>
      <c r="H2171" s="1" t="s">
        <v>0</v>
      </c>
      <c r="I2171">
        <v>6.6</v>
      </c>
      <c r="J2171" t="s">
        <v>6</v>
      </c>
      <c r="K2171">
        <v>24.1</v>
      </c>
      <c r="L2171">
        <v>27.3</v>
      </c>
      <c r="M2171">
        <f t="shared" si="135"/>
        <v>1</v>
      </c>
    </row>
    <row r="2172" spans="1:13" x14ac:dyDescent="0.2">
      <c r="A2172" s="9">
        <v>44910</v>
      </c>
      <c r="B2172">
        <f t="shared" si="132"/>
        <v>15</v>
      </c>
      <c r="C2172">
        <f t="shared" si="133"/>
        <v>12</v>
      </c>
      <c r="D2172">
        <f t="shared" si="134"/>
        <v>2022</v>
      </c>
      <c r="E2172" s="11">
        <v>3.1309999999999998</v>
      </c>
      <c r="F2172" s="11">
        <v>101.54900000000001</v>
      </c>
      <c r="G2172" s="11">
        <v>27.4</v>
      </c>
      <c r="H2172" s="1" t="s">
        <v>0</v>
      </c>
      <c r="I2172">
        <v>0</v>
      </c>
      <c r="J2172" t="s">
        <v>6</v>
      </c>
      <c r="K2172">
        <v>24.6</v>
      </c>
      <c r="L2172">
        <v>26.8</v>
      </c>
      <c r="M2172">
        <f t="shared" si="135"/>
        <v>0</v>
      </c>
    </row>
    <row r="2173" spans="1:13" x14ac:dyDescent="0.2">
      <c r="A2173" s="9">
        <v>44911</v>
      </c>
      <c r="B2173">
        <f t="shared" si="132"/>
        <v>16</v>
      </c>
      <c r="C2173">
        <f t="shared" si="133"/>
        <v>12</v>
      </c>
      <c r="D2173">
        <f t="shared" si="134"/>
        <v>2022</v>
      </c>
      <c r="E2173" s="11">
        <v>3.1309999999999998</v>
      </c>
      <c r="F2173" s="11">
        <v>101.54900000000001</v>
      </c>
      <c r="G2173" s="11">
        <v>27.4</v>
      </c>
      <c r="H2173" s="1" t="s">
        <v>0</v>
      </c>
      <c r="I2173" t="s">
        <v>6</v>
      </c>
      <c r="J2173" t="s">
        <v>6</v>
      </c>
      <c r="K2173" t="s">
        <v>6</v>
      </c>
      <c r="L2173">
        <v>27.9</v>
      </c>
      <c r="M2173" t="str">
        <f t="shared" si="135"/>
        <v/>
      </c>
    </row>
    <row r="2174" spans="1:13" x14ac:dyDescent="0.2">
      <c r="A2174" s="9">
        <v>44912</v>
      </c>
      <c r="B2174">
        <f t="shared" si="132"/>
        <v>17</v>
      </c>
      <c r="C2174">
        <f t="shared" si="133"/>
        <v>12</v>
      </c>
      <c r="D2174">
        <f t="shared" si="134"/>
        <v>2022</v>
      </c>
      <c r="E2174" s="11">
        <v>3.1309999999999998</v>
      </c>
      <c r="F2174" s="11">
        <v>101.54900000000001</v>
      </c>
      <c r="G2174" s="11">
        <v>27.4</v>
      </c>
      <c r="H2174" s="1" t="s">
        <v>0</v>
      </c>
      <c r="I2174">
        <v>12.2</v>
      </c>
      <c r="J2174" t="s">
        <v>6</v>
      </c>
      <c r="K2174" t="s">
        <v>6</v>
      </c>
      <c r="L2174">
        <v>26.4</v>
      </c>
      <c r="M2174">
        <f t="shared" si="135"/>
        <v>1</v>
      </c>
    </row>
    <row r="2175" spans="1:13" x14ac:dyDescent="0.2">
      <c r="A2175" s="9">
        <v>44913</v>
      </c>
      <c r="B2175">
        <f t="shared" si="132"/>
        <v>18</v>
      </c>
      <c r="C2175">
        <f t="shared" si="133"/>
        <v>12</v>
      </c>
      <c r="D2175">
        <f t="shared" si="134"/>
        <v>2022</v>
      </c>
      <c r="E2175" s="11">
        <v>3.1309999999999998</v>
      </c>
      <c r="F2175" s="11">
        <v>101.54900000000001</v>
      </c>
      <c r="G2175" s="11">
        <v>27.4</v>
      </c>
      <c r="H2175" s="1" t="s">
        <v>0</v>
      </c>
      <c r="I2175">
        <v>13</v>
      </c>
      <c r="J2175" t="s">
        <v>6</v>
      </c>
      <c r="K2175" t="s">
        <v>6</v>
      </c>
      <c r="L2175">
        <v>26.2</v>
      </c>
      <c r="M2175">
        <f t="shared" si="135"/>
        <v>1</v>
      </c>
    </row>
    <row r="2176" spans="1:13" x14ac:dyDescent="0.2">
      <c r="A2176" s="9">
        <v>44914</v>
      </c>
      <c r="B2176">
        <f t="shared" si="132"/>
        <v>19</v>
      </c>
      <c r="C2176">
        <f t="shared" si="133"/>
        <v>12</v>
      </c>
      <c r="D2176">
        <f t="shared" si="134"/>
        <v>2022</v>
      </c>
      <c r="E2176" s="11">
        <v>3.1309999999999998</v>
      </c>
      <c r="F2176" s="11">
        <v>101.54900000000001</v>
      </c>
      <c r="G2176" s="11">
        <v>27.4</v>
      </c>
      <c r="H2176" s="1" t="s">
        <v>0</v>
      </c>
      <c r="I2176">
        <v>45.7</v>
      </c>
      <c r="J2176" t="s">
        <v>6</v>
      </c>
      <c r="K2176" t="s">
        <v>6</v>
      </c>
      <c r="L2176">
        <v>26.9</v>
      </c>
      <c r="M2176">
        <f t="shared" si="135"/>
        <v>1</v>
      </c>
    </row>
    <row r="2177" spans="1:13" x14ac:dyDescent="0.2">
      <c r="A2177" s="9">
        <v>44915</v>
      </c>
      <c r="B2177">
        <f t="shared" si="132"/>
        <v>20</v>
      </c>
      <c r="C2177">
        <f t="shared" si="133"/>
        <v>12</v>
      </c>
      <c r="D2177">
        <f t="shared" si="134"/>
        <v>2022</v>
      </c>
      <c r="E2177" s="11">
        <v>3.1309999999999998</v>
      </c>
      <c r="F2177" s="11">
        <v>101.54900000000001</v>
      </c>
      <c r="G2177" s="11">
        <v>27.4</v>
      </c>
      <c r="H2177" s="1" t="s">
        <v>0</v>
      </c>
      <c r="I2177">
        <v>0</v>
      </c>
      <c r="J2177">
        <v>33.1</v>
      </c>
      <c r="K2177">
        <v>23.6</v>
      </c>
      <c r="L2177">
        <v>27.7</v>
      </c>
      <c r="M2177">
        <f t="shared" si="135"/>
        <v>0</v>
      </c>
    </row>
    <row r="2178" spans="1:13" x14ac:dyDescent="0.2">
      <c r="A2178" s="9">
        <v>44916</v>
      </c>
      <c r="B2178">
        <f t="shared" si="132"/>
        <v>21</v>
      </c>
      <c r="C2178">
        <f t="shared" si="133"/>
        <v>12</v>
      </c>
      <c r="D2178">
        <f t="shared" si="134"/>
        <v>2022</v>
      </c>
      <c r="E2178" s="11">
        <v>3.1309999999999998</v>
      </c>
      <c r="F2178" s="11">
        <v>101.54900000000001</v>
      </c>
      <c r="G2178" s="11">
        <v>27.4</v>
      </c>
      <c r="H2178" s="1" t="s">
        <v>0</v>
      </c>
      <c r="I2178">
        <v>13.7</v>
      </c>
      <c r="J2178">
        <v>32.5</v>
      </c>
      <c r="K2178" t="s">
        <v>6</v>
      </c>
      <c r="L2178">
        <v>26.4</v>
      </c>
      <c r="M2178">
        <f t="shared" si="135"/>
        <v>1</v>
      </c>
    </row>
    <row r="2179" spans="1:13" x14ac:dyDescent="0.2">
      <c r="A2179" s="9">
        <v>44917</v>
      </c>
      <c r="B2179">
        <f t="shared" ref="B2179:B2188" si="136">DAY(A2179)</f>
        <v>22</v>
      </c>
      <c r="C2179">
        <f t="shared" ref="C2179:C2188" si="137">MONTH(A2179)</f>
        <v>12</v>
      </c>
      <c r="D2179">
        <f t="shared" ref="D2179:D2188" si="138">YEAR(A2179)</f>
        <v>2022</v>
      </c>
      <c r="E2179" s="11">
        <v>3.1309999999999998</v>
      </c>
      <c r="F2179" s="11">
        <v>101.54900000000001</v>
      </c>
      <c r="G2179" s="11">
        <v>27.4</v>
      </c>
      <c r="H2179" s="1" t="s">
        <v>0</v>
      </c>
      <c r="I2179">
        <v>9.9</v>
      </c>
      <c r="J2179" t="s">
        <v>6</v>
      </c>
      <c r="K2179" t="s">
        <v>6</v>
      </c>
      <c r="L2179">
        <v>25.3</v>
      </c>
      <c r="M2179">
        <f t="shared" ref="M2179:M2188" si="139">IF(ISNUMBER(I2179), IF(I2179&gt;0, 1, 0), "")</f>
        <v>1</v>
      </c>
    </row>
    <row r="2180" spans="1:13" x14ac:dyDescent="0.2">
      <c r="A2180" s="9">
        <v>44918</v>
      </c>
      <c r="B2180">
        <f t="shared" si="136"/>
        <v>23</v>
      </c>
      <c r="C2180">
        <f t="shared" si="137"/>
        <v>12</v>
      </c>
      <c r="D2180">
        <f t="shared" si="138"/>
        <v>2022</v>
      </c>
      <c r="E2180" s="11">
        <v>3.1309999999999998</v>
      </c>
      <c r="F2180" s="11">
        <v>101.54900000000001</v>
      </c>
      <c r="G2180" s="11">
        <v>27.4</v>
      </c>
      <c r="H2180" s="1" t="s">
        <v>0</v>
      </c>
      <c r="I2180">
        <v>17</v>
      </c>
      <c r="J2180">
        <v>32.299999999999997</v>
      </c>
      <c r="K2180" t="s">
        <v>6</v>
      </c>
      <c r="L2180">
        <v>26.3</v>
      </c>
      <c r="M2180">
        <f t="shared" si="139"/>
        <v>1</v>
      </c>
    </row>
    <row r="2181" spans="1:13" x14ac:dyDescent="0.2">
      <c r="A2181" s="9">
        <v>44919</v>
      </c>
      <c r="B2181">
        <f t="shared" si="136"/>
        <v>24</v>
      </c>
      <c r="C2181">
        <f t="shared" si="137"/>
        <v>12</v>
      </c>
      <c r="D2181">
        <f t="shared" si="138"/>
        <v>2022</v>
      </c>
      <c r="E2181" s="11">
        <v>3.1309999999999998</v>
      </c>
      <c r="F2181" s="11">
        <v>101.54900000000001</v>
      </c>
      <c r="G2181" s="11">
        <v>27.4</v>
      </c>
      <c r="H2181" s="1" t="s">
        <v>0</v>
      </c>
      <c r="I2181">
        <v>0.3</v>
      </c>
      <c r="J2181">
        <v>33</v>
      </c>
      <c r="K2181" t="s">
        <v>6</v>
      </c>
      <c r="L2181">
        <v>27.7</v>
      </c>
      <c r="M2181">
        <f t="shared" si="139"/>
        <v>1</v>
      </c>
    </row>
    <row r="2182" spans="1:13" x14ac:dyDescent="0.2">
      <c r="A2182" s="9">
        <v>44920</v>
      </c>
      <c r="B2182">
        <f t="shared" si="136"/>
        <v>25</v>
      </c>
      <c r="C2182">
        <f t="shared" si="137"/>
        <v>12</v>
      </c>
      <c r="D2182">
        <f t="shared" si="138"/>
        <v>2022</v>
      </c>
      <c r="E2182" s="11">
        <v>3.1309999999999998</v>
      </c>
      <c r="F2182" s="11">
        <v>101.54900000000001</v>
      </c>
      <c r="G2182" s="11">
        <v>27.4</v>
      </c>
      <c r="H2182" s="1" t="s">
        <v>0</v>
      </c>
      <c r="I2182">
        <v>1.5</v>
      </c>
      <c r="J2182" t="s">
        <v>6</v>
      </c>
      <c r="K2182">
        <v>23.4</v>
      </c>
      <c r="L2182">
        <v>27.5</v>
      </c>
      <c r="M2182">
        <f t="shared" si="139"/>
        <v>1</v>
      </c>
    </row>
    <row r="2183" spans="1:13" x14ac:dyDescent="0.2">
      <c r="A2183" s="9">
        <v>44921</v>
      </c>
      <c r="B2183">
        <f t="shared" si="136"/>
        <v>26</v>
      </c>
      <c r="C2183">
        <f t="shared" si="137"/>
        <v>12</v>
      </c>
      <c r="D2183">
        <f t="shared" si="138"/>
        <v>2022</v>
      </c>
      <c r="E2183" s="11">
        <v>3.1309999999999998</v>
      </c>
      <c r="F2183" s="11">
        <v>101.54900000000001</v>
      </c>
      <c r="G2183" s="11">
        <v>27.4</v>
      </c>
      <c r="H2183" s="1" t="s">
        <v>0</v>
      </c>
      <c r="I2183">
        <v>0</v>
      </c>
      <c r="J2183" t="s">
        <v>6</v>
      </c>
      <c r="K2183">
        <v>23.8</v>
      </c>
      <c r="L2183">
        <v>27.2</v>
      </c>
      <c r="M2183">
        <f t="shared" si="139"/>
        <v>0</v>
      </c>
    </row>
    <row r="2184" spans="1:13" x14ac:dyDescent="0.2">
      <c r="A2184" s="9">
        <v>44922</v>
      </c>
      <c r="B2184">
        <f t="shared" si="136"/>
        <v>27</v>
      </c>
      <c r="C2184">
        <f t="shared" si="137"/>
        <v>12</v>
      </c>
      <c r="D2184">
        <f t="shared" si="138"/>
        <v>2022</v>
      </c>
      <c r="E2184" s="11">
        <v>3.1309999999999998</v>
      </c>
      <c r="F2184" s="11">
        <v>101.54900000000001</v>
      </c>
      <c r="G2184" s="11">
        <v>27.4</v>
      </c>
      <c r="H2184" s="1" t="s">
        <v>0</v>
      </c>
      <c r="I2184">
        <v>0</v>
      </c>
      <c r="J2184" t="s">
        <v>6</v>
      </c>
      <c r="K2184">
        <v>23.8</v>
      </c>
      <c r="L2184">
        <v>26.8</v>
      </c>
      <c r="M2184">
        <f t="shared" si="139"/>
        <v>0</v>
      </c>
    </row>
    <row r="2185" spans="1:13" x14ac:dyDescent="0.2">
      <c r="A2185" s="9">
        <v>44923</v>
      </c>
      <c r="B2185">
        <f t="shared" si="136"/>
        <v>28</v>
      </c>
      <c r="C2185">
        <f t="shared" si="137"/>
        <v>12</v>
      </c>
      <c r="D2185">
        <f t="shared" si="138"/>
        <v>2022</v>
      </c>
      <c r="E2185" s="11">
        <v>3.1309999999999998</v>
      </c>
      <c r="F2185" s="11">
        <v>101.54900000000001</v>
      </c>
      <c r="G2185" s="11">
        <v>27.4</v>
      </c>
      <c r="H2185" s="1" t="s">
        <v>0</v>
      </c>
      <c r="I2185">
        <v>0.3</v>
      </c>
      <c r="J2185">
        <v>28.6</v>
      </c>
      <c r="K2185">
        <v>24.1</v>
      </c>
      <c r="L2185">
        <v>26.1</v>
      </c>
      <c r="M2185">
        <f t="shared" si="139"/>
        <v>1</v>
      </c>
    </row>
    <row r="2186" spans="1:13" x14ac:dyDescent="0.2">
      <c r="A2186" s="9">
        <v>44924</v>
      </c>
      <c r="B2186">
        <f t="shared" si="136"/>
        <v>29</v>
      </c>
      <c r="C2186">
        <f t="shared" si="137"/>
        <v>12</v>
      </c>
      <c r="D2186">
        <f t="shared" si="138"/>
        <v>2022</v>
      </c>
      <c r="E2186" s="11">
        <v>3.1309999999999998</v>
      </c>
      <c r="F2186" s="11">
        <v>101.54900000000001</v>
      </c>
      <c r="G2186" s="11">
        <v>27.4</v>
      </c>
      <c r="H2186" s="1" t="s">
        <v>0</v>
      </c>
      <c r="I2186">
        <v>1.5</v>
      </c>
      <c r="J2186" t="s">
        <v>6</v>
      </c>
      <c r="K2186" t="s">
        <v>6</v>
      </c>
      <c r="L2186">
        <v>26.9</v>
      </c>
      <c r="M2186">
        <f t="shared" si="139"/>
        <v>1</v>
      </c>
    </row>
    <row r="2187" spans="1:13" x14ac:dyDescent="0.2">
      <c r="A2187" s="9">
        <v>44925</v>
      </c>
      <c r="B2187">
        <f t="shared" si="136"/>
        <v>30</v>
      </c>
      <c r="C2187">
        <f t="shared" si="137"/>
        <v>12</v>
      </c>
      <c r="D2187">
        <f t="shared" si="138"/>
        <v>2022</v>
      </c>
      <c r="E2187" s="11">
        <v>3.1309999999999998</v>
      </c>
      <c r="F2187" s="11">
        <v>101.54900000000001</v>
      </c>
      <c r="G2187" s="11">
        <v>27.4</v>
      </c>
      <c r="H2187" s="1" t="s">
        <v>0</v>
      </c>
      <c r="I2187">
        <v>0</v>
      </c>
      <c r="J2187" t="s">
        <v>6</v>
      </c>
      <c r="K2187">
        <v>24.2</v>
      </c>
      <c r="L2187">
        <v>28.2</v>
      </c>
      <c r="M2187">
        <f t="shared" si="139"/>
        <v>0</v>
      </c>
    </row>
    <row r="2188" spans="1:13" x14ac:dyDescent="0.2">
      <c r="A2188" s="9">
        <v>44926</v>
      </c>
      <c r="B2188">
        <f t="shared" si="136"/>
        <v>31</v>
      </c>
      <c r="C2188">
        <f t="shared" si="137"/>
        <v>12</v>
      </c>
      <c r="D2188">
        <f t="shared" si="138"/>
        <v>2022</v>
      </c>
      <c r="E2188" s="11">
        <v>3.1309999999999998</v>
      </c>
      <c r="F2188" s="11">
        <v>101.54900000000001</v>
      </c>
      <c r="G2188" s="11">
        <v>27.4</v>
      </c>
      <c r="H2188" s="1" t="s">
        <v>0</v>
      </c>
      <c r="I2188">
        <v>0</v>
      </c>
      <c r="J2188" t="s">
        <v>6</v>
      </c>
      <c r="K2188" t="s">
        <v>6</v>
      </c>
      <c r="L2188">
        <v>27.8</v>
      </c>
      <c r="M2188">
        <f t="shared" si="139"/>
        <v>0</v>
      </c>
    </row>
  </sheetData>
  <conditionalFormatting sqref="I1:M1048576">
    <cfRule type="containsBlanks" dxfId="4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95EEB-38CF-4645-A81D-C19511813A5D}">
  <dimension ref="A1:E313"/>
  <sheetViews>
    <sheetView workbookViewId="0">
      <pane ySplit="1" topLeftCell="A11" activePane="bottomLeft" state="frozen"/>
      <selection pane="bottomLeft" activeCell="L10" sqref="L10"/>
    </sheetView>
  </sheetViews>
  <sheetFormatPr baseColWidth="10" defaultRowHeight="16" x14ac:dyDescent="0.2"/>
  <cols>
    <col min="1" max="1" width="5.1640625" bestFit="1" customWidth="1"/>
    <col min="2" max="2" width="5.83203125" bestFit="1" customWidth="1"/>
    <col min="3" max="3" width="6.33203125" bestFit="1" customWidth="1"/>
    <col min="4" max="4" width="10.5" style="8" bestFit="1" customWidth="1"/>
    <col min="5" max="5" width="9.1640625" style="14" bestFit="1" customWidth="1"/>
  </cols>
  <sheetData>
    <row r="1" spans="1:5" ht="17" x14ac:dyDescent="0.2">
      <c r="A1" s="2" t="s">
        <v>7</v>
      </c>
      <c r="B1" s="3" t="s">
        <v>8</v>
      </c>
      <c r="C1" s="3" t="s">
        <v>10</v>
      </c>
      <c r="D1" s="17" t="s">
        <v>9</v>
      </c>
      <c r="E1" s="18" t="s">
        <v>11</v>
      </c>
    </row>
    <row r="2" spans="1:5" x14ac:dyDescent="0.2">
      <c r="A2">
        <v>2022</v>
      </c>
      <c r="B2" s="4">
        <v>52</v>
      </c>
      <c r="C2">
        <f t="shared" ref="C2:C65" si="0">MONTH(D2)</f>
        <v>12</v>
      </c>
      <c r="D2" s="19">
        <f t="shared" ref="D2:D65" si="1">DATE(YEAR(DATE(A2,1,1)),1,1)+7*(B2-1)</f>
        <v>44919</v>
      </c>
      <c r="E2" s="16">
        <v>193</v>
      </c>
    </row>
    <row r="3" spans="1:5" x14ac:dyDescent="0.2">
      <c r="A3">
        <v>2022</v>
      </c>
      <c r="B3" s="4">
        <v>51</v>
      </c>
      <c r="C3">
        <f t="shared" si="0"/>
        <v>12</v>
      </c>
      <c r="D3" s="19">
        <f t="shared" si="1"/>
        <v>44912</v>
      </c>
      <c r="E3" s="16">
        <v>180</v>
      </c>
    </row>
    <row r="4" spans="1:5" x14ac:dyDescent="0.2">
      <c r="A4">
        <v>2022</v>
      </c>
      <c r="B4" s="4">
        <v>50</v>
      </c>
      <c r="C4">
        <f t="shared" si="0"/>
        <v>12</v>
      </c>
      <c r="D4" s="19">
        <f t="shared" si="1"/>
        <v>44905</v>
      </c>
      <c r="E4" s="16">
        <v>201</v>
      </c>
    </row>
    <row r="5" spans="1:5" x14ac:dyDescent="0.2">
      <c r="A5">
        <v>2022</v>
      </c>
      <c r="B5" s="4">
        <v>49</v>
      </c>
      <c r="C5">
        <f t="shared" si="0"/>
        <v>12</v>
      </c>
      <c r="D5" s="19">
        <f t="shared" si="1"/>
        <v>44898</v>
      </c>
      <c r="E5" s="16">
        <v>188</v>
      </c>
    </row>
    <row r="6" spans="1:5" x14ac:dyDescent="0.2">
      <c r="A6">
        <v>2022</v>
      </c>
      <c r="B6" s="4">
        <v>48</v>
      </c>
      <c r="C6">
        <f t="shared" si="0"/>
        <v>11</v>
      </c>
      <c r="D6" s="19">
        <f t="shared" si="1"/>
        <v>44891</v>
      </c>
      <c r="E6" s="16">
        <v>167</v>
      </c>
    </row>
    <row r="7" spans="1:5" x14ac:dyDescent="0.2">
      <c r="A7">
        <v>2022</v>
      </c>
      <c r="B7" s="4">
        <v>47</v>
      </c>
      <c r="C7">
        <f t="shared" si="0"/>
        <v>11</v>
      </c>
      <c r="D7" s="19">
        <f t="shared" si="1"/>
        <v>44884</v>
      </c>
      <c r="E7" s="16">
        <v>195</v>
      </c>
    </row>
    <row r="8" spans="1:5" x14ac:dyDescent="0.2">
      <c r="A8">
        <v>2022</v>
      </c>
      <c r="B8" s="4">
        <v>46</v>
      </c>
      <c r="C8">
        <f t="shared" si="0"/>
        <v>11</v>
      </c>
      <c r="D8" s="19">
        <f t="shared" si="1"/>
        <v>44877</v>
      </c>
      <c r="E8" s="16">
        <v>204</v>
      </c>
    </row>
    <row r="9" spans="1:5" x14ac:dyDescent="0.2">
      <c r="A9">
        <v>2022</v>
      </c>
      <c r="B9" s="4">
        <v>45</v>
      </c>
      <c r="C9">
        <f t="shared" si="0"/>
        <v>11</v>
      </c>
      <c r="D9" s="19">
        <f t="shared" si="1"/>
        <v>44870</v>
      </c>
      <c r="E9" s="16">
        <v>207</v>
      </c>
    </row>
    <row r="10" spans="1:5" x14ac:dyDescent="0.2">
      <c r="A10">
        <v>2022</v>
      </c>
      <c r="B10" s="4">
        <v>44</v>
      </c>
      <c r="C10">
        <f t="shared" si="0"/>
        <v>10</v>
      </c>
      <c r="D10" s="19">
        <f t="shared" si="1"/>
        <v>44863</v>
      </c>
      <c r="E10" s="16">
        <v>200</v>
      </c>
    </row>
    <row r="11" spans="1:5" x14ac:dyDescent="0.2">
      <c r="A11">
        <v>2022</v>
      </c>
      <c r="B11" s="4">
        <v>43</v>
      </c>
      <c r="C11">
        <f t="shared" si="0"/>
        <v>10</v>
      </c>
      <c r="D11" s="19">
        <f t="shared" si="1"/>
        <v>44856</v>
      </c>
      <c r="E11" s="16">
        <v>162</v>
      </c>
    </row>
    <row r="12" spans="1:5" x14ac:dyDescent="0.2">
      <c r="A12">
        <v>2022</v>
      </c>
      <c r="B12" s="4">
        <v>42</v>
      </c>
      <c r="C12">
        <f t="shared" si="0"/>
        <v>10</v>
      </c>
      <c r="D12" s="19">
        <f t="shared" si="1"/>
        <v>44849</v>
      </c>
      <c r="E12" s="16">
        <v>187</v>
      </c>
    </row>
    <row r="13" spans="1:5" x14ac:dyDescent="0.2">
      <c r="A13">
        <v>2022</v>
      </c>
      <c r="B13" s="4">
        <v>41</v>
      </c>
      <c r="C13">
        <f t="shared" si="0"/>
        <v>10</v>
      </c>
      <c r="D13" s="19">
        <f t="shared" si="1"/>
        <v>44842</v>
      </c>
      <c r="E13" s="16">
        <v>177</v>
      </c>
    </row>
    <row r="14" spans="1:5" x14ac:dyDescent="0.2">
      <c r="A14">
        <v>2022</v>
      </c>
      <c r="B14" s="4">
        <v>40</v>
      </c>
      <c r="C14">
        <f t="shared" si="0"/>
        <v>10</v>
      </c>
      <c r="D14" s="19">
        <f t="shared" si="1"/>
        <v>44835</v>
      </c>
      <c r="E14" s="16">
        <v>158</v>
      </c>
    </row>
    <row r="15" spans="1:5" x14ac:dyDescent="0.2">
      <c r="A15">
        <v>2022</v>
      </c>
      <c r="B15" s="4">
        <v>39</v>
      </c>
      <c r="C15">
        <f t="shared" si="0"/>
        <v>9</v>
      </c>
      <c r="D15" s="19">
        <f t="shared" si="1"/>
        <v>44828</v>
      </c>
      <c r="E15" s="16">
        <v>163</v>
      </c>
    </row>
    <row r="16" spans="1:5" x14ac:dyDescent="0.2">
      <c r="A16">
        <v>2022</v>
      </c>
      <c r="B16" s="4">
        <v>38</v>
      </c>
      <c r="C16">
        <f t="shared" si="0"/>
        <v>9</v>
      </c>
      <c r="D16" s="19">
        <f t="shared" si="1"/>
        <v>44821</v>
      </c>
      <c r="E16" s="16">
        <v>164</v>
      </c>
    </row>
    <row r="17" spans="1:5" x14ac:dyDescent="0.2">
      <c r="A17">
        <v>2022</v>
      </c>
      <c r="B17" s="4">
        <v>37</v>
      </c>
      <c r="C17">
        <f t="shared" si="0"/>
        <v>9</v>
      </c>
      <c r="D17" s="19">
        <f t="shared" si="1"/>
        <v>44814</v>
      </c>
      <c r="E17" s="16">
        <v>139</v>
      </c>
    </row>
    <row r="18" spans="1:5" x14ac:dyDescent="0.2">
      <c r="A18">
        <v>2022</v>
      </c>
      <c r="B18" s="4">
        <v>36</v>
      </c>
      <c r="C18">
        <f t="shared" si="0"/>
        <v>9</v>
      </c>
      <c r="D18" s="19">
        <f t="shared" si="1"/>
        <v>44807</v>
      </c>
      <c r="E18" s="16"/>
    </row>
    <row r="19" spans="1:5" x14ac:dyDescent="0.2">
      <c r="A19">
        <v>2022</v>
      </c>
      <c r="B19" s="4">
        <v>35</v>
      </c>
      <c r="C19">
        <f t="shared" si="0"/>
        <v>8</v>
      </c>
      <c r="D19" s="19">
        <f t="shared" si="1"/>
        <v>44800</v>
      </c>
      <c r="E19" s="16">
        <v>130</v>
      </c>
    </row>
    <row r="20" spans="1:5" x14ac:dyDescent="0.2">
      <c r="A20">
        <v>2022</v>
      </c>
      <c r="B20" s="4">
        <v>34</v>
      </c>
      <c r="C20">
        <f t="shared" si="0"/>
        <v>8</v>
      </c>
      <c r="D20" s="19">
        <f t="shared" si="1"/>
        <v>44793</v>
      </c>
      <c r="E20" s="16">
        <v>154</v>
      </c>
    </row>
    <row r="21" spans="1:5" x14ac:dyDescent="0.2">
      <c r="A21">
        <v>2022</v>
      </c>
      <c r="B21" s="4">
        <v>33</v>
      </c>
      <c r="C21">
        <f t="shared" si="0"/>
        <v>8</v>
      </c>
      <c r="D21" s="19">
        <f t="shared" si="1"/>
        <v>44786</v>
      </c>
      <c r="E21" s="16">
        <v>170</v>
      </c>
    </row>
    <row r="22" spans="1:5" x14ac:dyDescent="0.2">
      <c r="A22">
        <v>2022</v>
      </c>
      <c r="B22" s="4">
        <v>32</v>
      </c>
      <c r="C22">
        <f t="shared" si="0"/>
        <v>8</v>
      </c>
      <c r="D22" s="19">
        <f t="shared" si="1"/>
        <v>44779</v>
      </c>
      <c r="E22" s="16">
        <v>147</v>
      </c>
    </row>
    <row r="23" spans="1:5" x14ac:dyDescent="0.2">
      <c r="A23">
        <v>2022</v>
      </c>
      <c r="B23" s="4">
        <v>31</v>
      </c>
      <c r="C23">
        <f t="shared" si="0"/>
        <v>7</v>
      </c>
      <c r="D23" s="19">
        <f t="shared" si="1"/>
        <v>44772</v>
      </c>
      <c r="E23" s="16">
        <v>140</v>
      </c>
    </row>
    <row r="24" spans="1:5" x14ac:dyDescent="0.2">
      <c r="A24">
        <v>2022</v>
      </c>
      <c r="B24" s="4">
        <v>30</v>
      </c>
      <c r="C24">
        <f t="shared" si="0"/>
        <v>7</v>
      </c>
      <c r="D24" s="19">
        <f t="shared" si="1"/>
        <v>44765</v>
      </c>
      <c r="E24" s="16">
        <v>157</v>
      </c>
    </row>
    <row r="25" spans="1:5" x14ac:dyDescent="0.2">
      <c r="A25">
        <v>2022</v>
      </c>
      <c r="B25" s="4">
        <v>29</v>
      </c>
      <c r="C25">
        <f t="shared" si="0"/>
        <v>7</v>
      </c>
      <c r="D25" s="19">
        <f t="shared" si="1"/>
        <v>44758</v>
      </c>
      <c r="E25" s="16">
        <v>185</v>
      </c>
    </row>
    <row r="26" spans="1:5" x14ac:dyDescent="0.2">
      <c r="A26">
        <v>2022</v>
      </c>
      <c r="B26" s="4">
        <v>28</v>
      </c>
      <c r="C26">
        <f t="shared" si="0"/>
        <v>7</v>
      </c>
      <c r="D26" s="19">
        <f t="shared" si="1"/>
        <v>44751</v>
      </c>
      <c r="E26" s="16">
        <v>150</v>
      </c>
    </row>
    <row r="27" spans="1:5" x14ac:dyDescent="0.2">
      <c r="A27">
        <v>2022</v>
      </c>
      <c r="B27" s="4">
        <v>27</v>
      </c>
      <c r="C27">
        <f t="shared" si="0"/>
        <v>7</v>
      </c>
      <c r="D27" s="19">
        <f t="shared" si="1"/>
        <v>44744</v>
      </c>
      <c r="E27" s="16">
        <v>173</v>
      </c>
    </row>
    <row r="28" spans="1:5" x14ac:dyDescent="0.2">
      <c r="A28">
        <v>2022</v>
      </c>
      <c r="B28" s="4">
        <v>26</v>
      </c>
      <c r="C28">
        <f t="shared" si="0"/>
        <v>6</v>
      </c>
      <c r="D28" s="19">
        <f t="shared" si="1"/>
        <v>44737</v>
      </c>
      <c r="E28" s="16">
        <v>156</v>
      </c>
    </row>
    <row r="29" spans="1:5" x14ac:dyDescent="0.2">
      <c r="A29">
        <v>2022</v>
      </c>
      <c r="B29" s="4">
        <v>25</v>
      </c>
      <c r="C29">
        <f t="shared" si="0"/>
        <v>6</v>
      </c>
      <c r="D29" s="19">
        <f t="shared" si="1"/>
        <v>44730</v>
      </c>
      <c r="E29" s="16">
        <v>171</v>
      </c>
    </row>
    <row r="30" spans="1:5" x14ac:dyDescent="0.2">
      <c r="A30">
        <v>2022</v>
      </c>
      <c r="B30" s="4">
        <v>24</v>
      </c>
      <c r="C30">
        <f t="shared" si="0"/>
        <v>6</v>
      </c>
      <c r="D30" s="19">
        <f t="shared" si="1"/>
        <v>44723</v>
      </c>
      <c r="E30" s="16"/>
    </row>
    <row r="31" spans="1:5" x14ac:dyDescent="0.2">
      <c r="A31">
        <v>2022</v>
      </c>
      <c r="B31" s="4">
        <v>23</v>
      </c>
      <c r="C31">
        <f t="shared" si="0"/>
        <v>6</v>
      </c>
      <c r="D31" s="19">
        <f t="shared" si="1"/>
        <v>44716</v>
      </c>
      <c r="E31" s="16">
        <v>128</v>
      </c>
    </row>
    <row r="32" spans="1:5" x14ac:dyDescent="0.2">
      <c r="A32">
        <v>2022</v>
      </c>
      <c r="B32" s="4">
        <v>22</v>
      </c>
      <c r="C32">
        <f t="shared" si="0"/>
        <v>5</v>
      </c>
      <c r="D32" s="19">
        <f t="shared" si="1"/>
        <v>44709</v>
      </c>
      <c r="E32" s="16">
        <v>148</v>
      </c>
    </row>
    <row r="33" spans="1:5" x14ac:dyDescent="0.2">
      <c r="A33">
        <v>2022</v>
      </c>
      <c r="B33" s="4">
        <v>21</v>
      </c>
      <c r="C33">
        <f t="shared" si="0"/>
        <v>5</v>
      </c>
      <c r="D33" s="19">
        <f t="shared" si="1"/>
        <v>44702</v>
      </c>
      <c r="E33" s="16"/>
    </row>
    <row r="34" spans="1:5" x14ac:dyDescent="0.2">
      <c r="A34">
        <v>2022</v>
      </c>
      <c r="B34" s="4">
        <v>20</v>
      </c>
      <c r="C34">
        <f t="shared" si="0"/>
        <v>5</v>
      </c>
      <c r="D34" s="19">
        <f t="shared" si="1"/>
        <v>44695</v>
      </c>
      <c r="E34" s="16"/>
    </row>
    <row r="35" spans="1:5" x14ac:dyDescent="0.2">
      <c r="A35">
        <v>2022</v>
      </c>
      <c r="B35" s="4">
        <v>19</v>
      </c>
      <c r="C35">
        <f t="shared" si="0"/>
        <v>5</v>
      </c>
      <c r="D35" s="19">
        <f t="shared" si="1"/>
        <v>44688</v>
      </c>
      <c r="E35" s="16"/>
    </row>
    <row r="36" spans="1:5" x14ac:dyDescent="0.2">
      <c r="A36">
        <v>2022</v>
      </c>
      <c r="B36" s="4">
        <v>18</v>
      </c>
      <c r="C36">
        <f t="shared" si="0"/>
        <v>4</v>
      </c>
      <c r="D36" s="19">
        <f t="shared" si="1"/>
        <v>44681</v>
      </c>
      <c r="E36" s="16">
        <v>61</v>
      </c>
    </row>
    <row r="37" spans="1:5" x14ac:dyDescent="0.2">
      <c r="A37">
        <v>2022</v>
      </c>
      <c r="B37" s="4">
        <v>17</v>
      </c>
      <c r="C37">
        <f t="shared" si="0"/>
        <v>4</v>
      </c>
      <c r="D37" s="19">
        <f t="shared" si="1"/>
        <v>44674</v>
      </c>
      <c r="E37" s="16">
        <v>106</v>
      </c>
    </row>
    <row r="38" spans="1:5" x14ac:dyDescent="0.2">
      <c r="A38">
        <v>2022</v>
      </c>
      <c r="B38" s="4">
        <v>16</v>
      </c>
      <c r="C38">
        <f t="shared" si="0"/>
        <v>4</v>
      </c>
      <c r="D38" s="19">
        <f t="shared" si="1"/>
        <v>44667</v>
      </c>
      <c r="E38" s="16">
        <v>85</v>
      </c>
    </row>
    <row r="39" spans="1:5" x14ac:dyDescent="0.2">
      <c r="A39">
        <v>2022</v>
      </c>
      <c r="B39" s="4">
        <v>15</v>
      </c>
      <c r="C39">
        <f t="shared" si="0"/>
        <v>4</v>
      </c>
      <c r="D39" s="19">
        <f t="shared" si="1"/>
        <v>44660</v>
      </c>
      <c r="E39" s="16">
        <v>99</v>
      </c>
    </row>
    <row r="40" spans="1:5" x14ac:dyDescent="0.2">
      <c r="A40">
        <v>2022</v>
      </c>
      <c r="B40" s="4">
        <v>14</v>
      </c>
      <c r="C40">
        <f t="shared" si="0"/>
        <v>4</v>
      </c>
      <c r="D40" s="19">
        <f t="shared" si="1"/>
        <v>44653</v>
      </c>
      <c r="E40" s="16">
        <v>86</v>
      </c>
    </row>
    <row r="41" spans="1:5" x14ac:dyDescent="0.2">
      <c r="A41">
        <v>2022</v>
      </c>
      <c r="B41" s="4">
        <v>13</v>
      </c>
      <c r="C41">
        <f t="shared" si="0"/>
        <v>3</v>
      </c>
      <c r="D41" s="19">
        <f t="shared" si="1"/>
        <v>44646</v>
      </c>
      <c r="E41" s="16">
        <v>61</v>
      </c>
    </row>
    <row r="42" spans="1:5" x14ac:dyDescent="0.2">
      <c r="A42">
        <v>2022</v>
      </c>
      <c r="B42" s="4">
        <v>12</v>
      </c>
      <c r="C42">
        <f t="shared" si="0"/>
        <v>3</v>
      </c>
      <c r="D42" s="19">
        <f t="shared" si="1"/>
        <v>44639</v>
      </c>
      <c r="E42" s="16">
        <v>53</v>
      </c>
    </row>
    <row r="43" spans="1:5" x14ac:dyDescent="0.2">
      <c r="A43">
        <v>2022</v>
      </c>
      <c r="B43" s="4">
        <v>11</v>
      </c>
      <c r="C43">
        <f t="shared" si="0"/>
        <v>3</v>
      </c>
      <c r="D43" s="19">
        <f t="shared" si="1"/>
        <v>44632</v>
      </c>
      <c r="E43" s="16">
        <v>53</v>
      </c>
    </row>
    <row r="44" spans="1:5" x14ac:dyDescent="0.2">
      <c r="A44">
        <v>2022</v>
      </c>
      <c r="B44" s="4">
        <v>10</v>
      </c>
      <c r="C44">
        <f t="shared" si="0"/>
        <v>3</v>
      </c>
      <c r="D44" s="19">
        <f t="shared" si="1"/>
        <v>44625</v>
      </c>
      <c r="E44" s="16">
        <v>33</v>
      </c>
    </row>
    <row r="45" spans="1:5" x14ac:dyDescent="0.2">
      <c r="A45">
        <v>2022</v>
      </c>
      <c r="B45" s="4">
        <v>9</v>
      </c>
      <c r="C45">
        <f t="shared" si="0"/>
        <v>2</v>
      </c>
      <c r="D45" s="19">
        <f t="shared" si="1"/>
        <v>44618</v>
      </c>
      <c r="E45" s="16">
        <v>64</v>
      </c>
    </row>
    <row r="46" spans="1:5" x14ac:dyDescent="0.2">
      <c r="A46">
        <v>2022</v>
      </c>
      <c r="B46" s="4">
        <v>8</v>
      </c>
      <c r="C46">
        <f t="shared" si="0"/>
        <v>2</v>
      </c>
      <c r="D46" s="19">
        <f t="shared" si="1"/>
        <v>44611</v>
      </c>
      <c r="E46" s="16">
        <v>47</v>
      </c>
    </row>
    <row r="47" spans="1:5" x14ac:dyDescent="0.2">
      <c r="A47">
        <v>2022</v>
      </c>
      <c r="B47" s="4">
        <v>7</v>
      </c>
      <c r="C47">
        <f t="shared" si="0"/>
        <v>2</v>
      </c>
      <c r="D47" s="19">
        <f t="shared" si="1"/>
        <v>44604</v>
      </c>
      <c r="E47" s="16">
        <v>54</v>
      </c>
    </row>
    <row r="48" spans="1:5" x14ac:dyDescent="0.2">
      <c r="A48">
        <v>2022</v>
      </c>
      <c r="B48" s="4">
        <v>6</v>
      </c>
      <c r="C48">
        <f t="shared" si="0"/>
        <v>2</v>
      </c>
      <c r="D48" s="19">
        <f t="shared" si="1"/>
        <v>44597</v>
      </c>
      <c r="E48" s="16">
        <v>60</v>
      </c>
    </row>
    <row r="49" spans="1:5" x14ac:dyDescent="0.2">
      <c r="A49">
        <v>2022</v>
      </c>
      <c r="B49" s="4">
        <v>5</v>
      </c>
      <c r="C49">
        <f t="shared" si="0"/>
        <v>1</v>
      </c>
      <c r="D49" s="19">
        <f t="shared" si="1"/>
        <v>44590</v>
      </c>
      <c r="E49" s="16">
        <v>44</v>
      </c>
    </row>
    <row r="50" spans="1:5" x14ac:dyDescent="0.2">
      <c r="A50">
        <v>2022</v>
      </c>
      <c r="B50" s="4">
        <v>4</v>
      </c>
      <c r="C50">
        <f t="shared" si="0"/>
        <v>1</v>
      </c>
      <c r="D50" s="19">
        <f t="shared" si="1"/>
        <v>44583</v>
      </c>
      <c r="E50" s="16">
        <v>67</v>
      </c>
    </row>
    <row r="51" spans="1:5" x14ac:dyDescent="0.2">
      <c r="A51">
        <v>2022</v>
      </c>
      <c r="B51" s="4">
        <v>3</v>
      </c>
      <c r="C51">
        <f t="shared" si="0"/>
        <v>1</v>
      </c>
      <c r="D51" s="19">
        <f t="shared" si="1"/>
        <v>44576</v>
      </c>
      <c r="E51" s="16">
        <v>52</v>
      </c>
    </row>
    <row r="52" spans="1:5" x14ac:dyDescent="0.2">
      <c r="A52">
        <v>2022</v>
      </c>
      <c r="B52" s="4">
        <v>2</v>
      </c>
      <c r="C52">
        <f t="shared" si="0"/>
        <v>1</v>
      </c>
      <c r="D52" s="19">
        <f t="shared" si="1"/>
        <v>44569</v>
      </c>
      <c r="E52" s="16">
        <v>59</v>
      </c>
    </row>
    <row r="53" spans="1:5" x14ac:dyDescent="0.2">
      <c r="A53">
        <v>2022</v>
      </c>
      <c r="B53" s="4">
        <v>1</v>
      </c>
      <c r="C53">
        <f t="shared" si="0"/>
        <v>1</v>
      </c>
      <c r="D53" s="19">
        <f t="shared" si="1"/>
        <v>44562</v>
      </c>
      <c r="E53" s="16">
        <v>69</v>
      </c>
    </row>
    <row r="54" spans="1:5" x14ac:dyDescent="0.2">
      <c r="A54" s="1">
        <v>2021</v>
      </c>
      <c r="B54" s="4">
        <v>52</v>
      </c>
      <c r="C54">
        <f t="shared" si="0"/>
        <v>12</v>
      </c>
      <c r="D54" s="19">
        <f t="shared" si="1"/>
        <v>44554</v>
      </c>
      <c r="E54" s="16"/>
    </row>
    <row r="55" spans="1:5" x14ac:dyDescent="0.2">
      <c r="A55" s="1">
        <v>2021</v>
      </c>
      <c r="B55" s="4">
        <v>51</v>
      </c>
      <c r="C55">
        <f t="shared" si="0"/>
        <v>12</v>
      </c>
      <c r="D55" s="19">
        <f t="shared" si="1"/>
        <v>44547</v>
      </c>
      <c r="E55" s="16">
        <v>48</v>
      </c>
    </row>
    <row r="56" spans="1:5" x14ac:dyDescent="0.2">
      <c r="A56" s="1">
        <v>2021</v>
      </c>
      <c r="B56" s="4">
        <v>50</v>
      </c>
      <c r="C56">
        <f t="shared" si="0"/>
        <v>12</v>
      </c>
      <c r="D56" s="19">
        <f t="shared" si="1"/>
        <v>44540</v>
      </c>
      <c r="E56" s="16">
        <v>45</v>
      </c>
    </row>
    <row r="57" spans="1:5" x14ac:dyDescent="0.2">
      <c r="A57" s="1">
        <v>2021</v>
      </c>
      <c r="B57" s="4">
        <v>49</v>
      </c>
      <c r="C57">
        <f t="shared" si="0"/>
        <v>12</v>
      </c>
      <c r="D57" s="19">
        <f t="shared" si="1"/>
        <v>44533</v>
      </c>
      <c r="E57" s="16">
        <v>50</v>
      </c>
    </row>
    <row r="58" spans="1:5" x14ac:dyDescent="0.2">
      <c r="A58" s="1">
        <v>2021</v>
      </c>
      <c r="B58" s="4">
        <v>48</v>
      </c>
      <c r="C58">
        <f t="shared" si="0"/>
        <v>11</v>
      </c>
      <c r="D58" s="19">
        <f t="shared" si="1"/>
        <v>44526</v>
      </c>
      <c r="E58" s="16">
        <v>55</v>
      </c>
    </row>
    <row r="59" spans="1:5" x14ac:dyDescent="0.2">
      <c r="A59" s="1">
        <v>2021</v>
      </c>
      <c r="B59" s="4">
        <v>47</v>
      </c>
      <c r="C59">
        <f t="shared" si="0"/>
        <v>11</v>
      </c>
      <c r="D59" s="19">
        <f t="shared" si="1"/>
        <v>44519</v>
      </c>
      <c r="E59" s="16">
        <v>39</v>
      </c>
    </row>
    <row r="60" spans="1:5" x14ac:dyDescent="0.2">
      <c r="A60" s="1">
        <v>2021</v>
      </c>
      <c r="B60" s="4">
        <v>46</v>
      </c>
      <c r="C60">
        <f t="shared" si="0"/>
        <v>11</v>
      </c>
      <c r="D60" s="19">
        <f t="shared" si="1"/>
        <v>44512</v>
      </c>
      <c r="E60" s="16">
        <v>49</v>
      </c>
    </row>
    <row r="61" spans="1:5" x14ac:dyDescent="0.2">
      <c r="A61" s="1">
        <v>2021</v>
      </c>
      <c r="B61" s="4">
        <v>45</v>
      </c>
      <c r="C61">
        <f t="shared" si="0"/>
        <v>11</v>
      </c>
      <c r="D61" s="19">
        <f t="shared" si="1"/>
        <v>44505</v>
      </c>
      <c r="E61" s="16">
        <v>46</v>
      </c>
    </row>
    <row r="62" spans="1:5" x14ac:dyDescent="0.2">
      <c r="A62" s="1">
        <v>2021</v>
      </c>
      <c r="B62" s="4">
        <v>44</v>
      </c>
      <c r="C62">
        <f t="shared" si="0"/>
        <v>10</v>
      </c>
      <c r="D62" s="19">
        <f t="shared" si="1"/>
        <v>44498</v>
      </c>
      <c r="E62" s="16">
        <v>41</v>
      </c>
    </row>
    <row r="63" spans="1:5" x14ac:dyDescent="0.2">
      <c r="A63" s="1">
        <v>2021</v>
      </c>
      <c r="B63" s="4">
        <v>43</v>
      </c>
      <c r="C63">
        <f t="shared" si="0"/>
        <v>10</v>
      </c>
      <c r="D63" s="19">
        <f t="shared" si="1"/>
        <v>44491</v>
      </c>
      <c r="E63" s="16">
        <v>53</v>
      </c>
    </row>
    <row r="64" spans="1:5" x14ac:dyDescent="0.2">
      <c r="A64" s="1">
        <v>2021</v>
      </c>
      <c r="B64" s="4">
        <v>42</v>
      </c>
      <c r="C64">
        <f t="shared" si="0"/>
        <v>10</v>
      </c>
      <c r="D64" s="19">
        <f t="shared" si="1"/>
        <v>44484</v>
      </c>
      <c r="E64" s="16">
        <v>67</v>
      </c>
    </row>
    <row r="65" spans="1:5" x14ac:dyDescent="0.2">
      <c r="A65" s="1">
        <v>2021</v>
      </c>
      <c r="B65" s="4">
        <v>41</v>
      </c>
      <c r="C65">
        <f t="shared" si="0"/>
        <v>10</v>
      </c>
      <c r="D65" s="19">
        <f t="shared" si="1"/>
        <v>44477</v>
      </c>
      <c r="E65" s="16">
        <v>85</v>
      </c>
    </row>
    <row r="66" spans="1:5" x14ac:dyDescent="0.2">
      <c r="A66" s="1">
        <v>2021</v>
      </c>
      <c r="B66" s="4">
        <v>40</v>
      </c>
      <c r="C66">
        <f t="shared" ref="C66:C129" si="2">MONTH(D66)</f>
        <v>10</v>
      </c>
      <c r="D66" s="19">
        <f t="shared" ref="D66:D129" si="3">DATE(YEAR(DATE(A66,1,1)),1,1)+7*(B66-1)</f>
        <v>44470</v>
      </c>
      <c r="E66" s="16">
        <v>71</v>
      </c>
    </row>
    <row r="67" spans="1:5" x14ac:dyDescent="0.2">
      <c r="A67" s="1">
        <v>2021</v>
      </c>
      <c r="B67" s="4">
        <v>39</v>
      </c>
      <c r="C67">
        <f t="shared" si="2"/>
        <v>9</v>
      </c>
      <c r="D67" s="19">
        <f t="shared" si="3"/>
        <v>44463</v>
      </c>
      <c r="E67" s="16"/>
    </row>
    <row r="68" spans="1:5" x14ac:dyDescent="0.2">
      <c r="A68" s="1">
        <v>2021</v>
      </c>
      <c r="B68" s="4">
        <v>38</v>
      </c>
      <c r="C68">
        <f t="shared" si="2"/>
        <v>9</v>
      </c>
      <c r="D68" s="19">
        <f t="shared" si="3"/>
        <v>44456</v>
      </c>
      <c r="E68" s="16"/>
    </row>
    <row r="69" spans="1:5" x14ac:dyDescent="0.2">
      <c r="A69" s="1">
        <v>2021</v>
      </c>
      <c r="B69" s="4">
        <v>37</v>
      </c>
      <c r="C69">
        <f t="shared" si="2"/>
        <v>9</v>
      </c>
      <c r="D69" s="19">
        <f t="shared" si="3"/>
        <v>44449</v>
      </c>
      <c r="E69" s="16"/>
    </row>
    <row r="70" spans="1:5" x14ac:dyDescent="0.2">
      <c r="A70" s="1">
        <v>2021</v>
      </c>
      <c r="B70" s="4">
        <v>36</v>
      </c>
      <c r="C70">
        <f t="shared" si="2"/>
        <v>9</v>
      </c>
      <c r="D70" s="19">
        <f t="shared" si="3"/>
        <v>44442</v>
      </c>
      <c r="E70" s="16"/>
    </row>
    <row r="71" spans="1:5" x14ac:dyDescent="0.2">
      <c r="A71" s="1">
        <v>2021</v>
      </c>
      <c r="B71" s="4">
        <v>35</v>
      </c>
      <c r="C71">
        <f t="shared" si="2"/>
        <v>8</v>
      </c>
      <c r="D71" s="19">
        <f t="shared" si="3"/>
        <v>44435</v>
      </c>
      <c r="E71" s="16"/>
    </row>
    <row r="72" spans="1:5" x14ac:dyDescent="0.2">
      <c r="A72" s="1">
        <v>2021</v>
      </c>
      <c r="B72" s="4">
        <v>34</v>
      </c>
      <c r="C72">
        <f t="shared" si="2"/>
        <v>8</v>
      </c>
      <c r="D72" s="19">
        <f t="shared" si="3"/>
        <v>44428</v>
      </c>
      <c r="E72" s="16"/>
    </row>
    <row r="73" spans="1:5" x14ac:dyDescent="0.2">
      <c r="A73" s="1">
        <v>2021</v>
      </c>
      <c r="B73" s="4">
        <v>33</v>
      </c>
      <c r="C73">
        <f t="shared" si="2"/>
        <v>8</v>
      </c>
      <c r="D73" s="19">
        <f t="shared" si="3"/>
        <v>44421</v>
      </c>
      <c r="E73" s="16"/>
    </row>
    <row r="74" spans="1:5" x14ac:dyDescent="0.2">
      <c r="A74" s="1">
        <v>2021</v>
      </c>
      <c r="B74" s="4">
        <v>32</v>
      </c>
      <c r="C74">
        <f t="shared" si="2"/>
        <v>8</v>
      </c>
      <c r="D74" s="19">
        <f t="shared" si="3"/>
        <v>44414</v>
      </c>
      <c r="E74" s="16">
        <v>54</v>
      </c>
    </row>
    <row r="75" spans="1:5" x14ac:dyDescent="0.2">
      <c r="A75" s="1">
        <v>2021</v>
      </c>
      <c r="B75" s="4">
        <v>31</v>
      </c>
      <c r="C75">
        <f t="shared" si="2"/>
        <v>7</v>
      </c>
      <c r="D75" s="19">
        <f t="shared" si="3"/>
        <v>44407</v>
      </c>
      <c r="E75" s="16">
        <v>72</v>
      </c>
    </row>
    <row r="76" spans="1:5" x14ac:dyDescent="0.2">
      <c r="A76" s="1">
        <v>2021</v>
      </c>
      <c r="B76" s="4">
        <v>30</v>
      </c>
      <c r="C76">
        <f t="shared" si="2"/>
        <v>7</v>
      </c>
      <c r="D76" s="19">
        <f t="shared" si="3"/>
        <v>44400</v>
      </c>
      <c r="E76" s="16">
        <v>81</v>
      </c>
    </row>
    <row r="77" spans="1:5" x14ac:dyDescent="0.2">
      <c r="A77" s="1">
        <v>2021</v>
      </c>
      <c r="B77" s="4">
        <v>29</v>
      </c>
      <c r="C77">
        <f t="shared" si="2"/>
        <v>7</v>
      </c>
      <c r="D77" s="19">
        <f t="shared" si="3"/>
        <v>44393</v>
      </c>
      <c r="E77" s="16"/>
    </row>
    <row r="78" spans="1:5" x14ac:dyDescent="0.2">
      <c r="A78" s="1">
        <v>2021</v>
      </c>
      <c r="B78" s="4">
        <v>28</v>
      </c>
      <c r="C78">
        <f t="shared" si="2"/>
        <v>7</v>
      </c>
      <c r="D78" s="19">
        <f t="shared" si="3"/>
        <v>44386</v>
      </c>
      <c r="E78" s="16">
        <v>76</v>
      </c>
    </row>
    <row r="79" spans="1:5" x14ac:dyDescent="0.2">
      <c r="A79" s="1">
        <v>2021</v>
      </c>
      <c r="B79" s="4">
        <v>27</v>
      </c>
      <c r="C79">
        <f t="shared" si="2"/>
        <v>7</v>
      </c>
      <c r="D79" s="19">
        <f t="shared" si="3"/>
        <v>44379</v>
      </c>
      <c r="E79" s="16">
        <v>83</v>
      </c>
    </row>
    <row r="80" spans="1:5" x14ac:dyDescent="0.2">
      <c r="A80" s="1">
        <v>2021</v>
      </c>
      <c r="B80" s="4">
        <v>26</v>
      </c>
      <c r="C80">
        <f t="shared" si="2"/>
        <v>6</v>
      </c>
      <c r="D80" s="19">
        <f t="shared" si="3"/>
        <v>44372</v>
      </c>
      <c r="E80" s="16"/>
    </row>
    <row r="81" spans="1:5" x14ac:dyDescent="0.2">
      <c r="A81" s="1">
        <v>2021</v>
      </c>
      <c r="B81" s="4">
        <v>25</v>
      </c>
      <c r="C81">
        <f t="shared" si="2"/>
        <v>6</v>
      </c>
      <c r="D81" s="19">
        <f t="shared" si="3"/>
        <v>44365</v>
      </c>
      <c r="E81" s="16">
        <v>88</v>
      </c>
    </row>
    <row r="82" spans="1:5" x14ac:dyDescent="0.2">
      <c r="A82" s="1">
        <v>2021</v>
      </c>
      <c r="B82" s="4">
        <v>24</v>
      </c>
      <c r="C82">
        <f t="shared" si="2"/>
        <v>6</v>
      </c>
      <c r="D82" s="19">
        <f t="shared" si="3"/>
        <v>44358</v>
      </c>
      <c r="E82" s="16">
        <v>94</v>
      </c>
    </row>
    <row r="83" spans="1:5" x14ac:dyDescent="0.2">
      <c r="A83" s="1">
        <v>2021</v>
      </c>
      <c r="B83" s="4">
        <v>23</v>
      </c>
      <c r="C83">
        <f t="shared" si="2"/>
        <v>6</v>
      </c>
      <c r="D83" s="19">
        <f t="shared" si="3"/>
        <v>44351</v>
      </c>
      <c r="E83" s="16">
        <v>68</v>
      </c>
    </row>
    <row r="84" spans="1:5" x14ac:dyDescent="0.2">
      <c r="A84" s="1">
        <v>2021</v>
      </c>
      <c r="B84" s="4">
        <v>22</v>
      </c>
      <c r="C84">
        <f t="shared" si="2"/>
        <v>5</v>
      </c>
      <c r="D84" s="19">
        <f t="shared" si="3"/>
        <v>44344</v>
      </c>
      <c r="E84" s="16">
        <v>66</v>
      </c>
    </row>
    <row r="85" spans="1:5" x14ac:dyDescent="0.2">
      <c r="A85" s="1">
        <v>2021</v>
      </c>
      <c r="B85" s="4">
        <v>21</v>
      </c>
      <c r="C85">
        <f t="shared" si="2"/>
        <v>5</v>
      </c>
      <c r="D85" s="19">
        <f t="shared" si="3"/>
        <v>44337</v>
      </c>
      <c r="E85" s="16">
        <v>62</v>
      </c>
    </row>
    <row r="86" spans="1:5" x14ac:dyDescent="0.2">
      <c r="A86" s="1">
        <v>2021</v>
      </c>
      <c r="B86" s="4">
        <v>20</v>
      </c>
      <c r="C86">
        <f t="shared" si="2"/>
        <v>5</v>
      </c>
      <c r="D86" s="19">
        <f t="shared" si="3"/>
        <v>44330</v>
      </c>
      <c r="E86" s="16">
        <v>44</v>
      </c>
    </row>
    <row r="87" spans="1:5" x14ac:dyDescent="0.2">
      <c r="A87" s="1">
        <v>2021</v>
      </c>
      <c r="B87" s="4">
        <v>19</v>
      </c>
      <c r="C87">
        <f t="shared" si="2"/>
        <v>5</v>
      </c>
      <c r="D87" s="19">
        <f t="shared" si="3"/>
        <v>44323</v>
      </c>
      <c r="E87" s="16">
        <v>47</v>
      </c>
    </row>
    <row r="88" spans="1:5" x14ac:dyDescent="0.2">
      <c r="A88" s="1">
        <v>2021</v>
      </c>
      <c r="B88" s="4">
        <v>18</v>
      </c>
      <c r="C88">
        <f t="shared" si="2"/>
        <v>4</v>
      </c>
      <c r="D88" s="19">
        <f t="shared" si="3"/>
        <v>44316</v>
      </c>
      <c r="E88" s="16">
        <v>47</v>
      </c>
    </row>
    <row r="89" spans="1:5" x14ac:dyDescent="0.2">
      <c r="A89" s="1">
        <v>2021</v>
      </c>
      <c r="B89" s="4">
        <v>17</v>
      </c>
      <c r="C89">
        <f t="shared" si="2"/>
        <v>4</v>
      </c>
      <c r="D89" s="19">
        <f t="shared" si="3"/>
        <v>44309</v>
      </c>
      <c r="E89" s="16">
        <v>57</v>
      </c>
    </row>
    <row r="90" spans="1:5" x14ac:dyDescent="0.2">
      <c r="A90" s="1">
        <v>2021</v>
      </c>
      <c r="B90" s="4">
        <v>16</v>
      </c>
      <c r="C90">
        <f t="shared" si="2"/>
        <v>4</v>
      </c>
      <c r="D90" s="19">
        <f t="shared" si="3"/>
        <v>44302</v>
      </c>
      <c r="E90" s="16">
        <v>48</v>
      </c>
    </row>
    <row r="91" spans="1:5" x14ac:dyDescent="0.2">
      <c r="A91" s="1">
        <v>2021</v>
      </c>
      <c r="B91" s="4">
        <v>15</v>
      </c>
      <c r="C91">
        <f t="shared" si="2"/>
        <v>4</v>
      </c>
      <c r="D91" s="19">
        <f t="shared" si="3"/>
        <v>44295</v>
      </c>
      <c r="E91" s="16">
        <v>47</v>
      </c>
    </row>
    <row r="92" spans="1:5" x14ac:dyDescent="0.2">
      <c r="A92" s="1">
        <v>2021</v>
      </c>
      <c r="B92" s="4">
        <v>14</v>
      </c>
      <c r="C92">
        <f t="shared" si="2"/>
        <v>4</v>
      </c>
      <c r="D92" s="19">
        <f t="shared" si="3"/>
        <v>44288</v>
      </c>
      <c r="E92" s="16">
        <v>53</v>
      </c>
    </row>
    <row r="93" spans="1:5" x14ac:dyDescent="0.2">
      <c r="A93" s="1">
        <v>2021</v>
      </c>
      <c r="B93" s="4">
        <v>13</v>
      </c>
      <c r="C93">
        <f t="shared" si="2"/>
        <v>3</v>
      </c>
      <c r="D93" s="19">
        <f t="shared" si="3"/>
        <v>44281</v>
      </c>
      <c r="E93" s="16">
        <v>50</v>
      </c>
    </row>
    <row r="94" spans="1:5" x14ac:dyDescent="0.2">
      <c r="A94" s="1">
        <v>2021</v>
      </c>
      <c r="B94" s="4">
        <v>12</v>
      </c>
      <c r="C94">
        <f t="shared" si="2"/>
        <v>3</v>
      </c>
      <c r="D94" s="19">
        <f t="shared" si="3"/>
        <v>44274</v>
      </c>
      <c r="E94" s="16">
        <v>40</v>
      </c>
    </row>
    <row r="95" spans="1:5" x14ac:dyDescent="0.2">
      <c r="A95" s="1">
        <v>2021</v>
      </c>
      <c r="B95" s="4">
        <v>11</v>
      </c>
      <c r="C95">
        <f t="shared" si="2"/>
        <v>3</v>
      </c>
      <c r="D95" s="19">
        <f t="shared" si="3"/>
        <v>44267</v>
      </c>
      <c r="E95" s="16">
        <v>47</v>
      </c>
    </row>
    <row r="96" spans="1:5" x14ac:dyDescent="0.2">
      <c r="A96" s="1">
        <v>2021</v>
      </c>
      <c r="B96" s="4">
        <v>10</v>
      </c>
      <c r="C96">
        <f t="shared" si="2"/>
        <v>3</v>
      </c>
      <c r="D96" s="19">
        <f t="shared" si="3"/>
        <v>44260</v>
      </c>
      <c r="E96" s="16">
        <v>57</v>
      </c>
    </row>
    <row r="97" spans="1:5" x14ac:dyDescent="0.2">
      <c r="A97" s="1">
        <v>2021</v>
      </c>
      <c r="B97" s="4">
        <v>9</v>
      </c>
      <c r="C97">
        <f t="shared" si="2"/>
        <v>2</v>
      </c>
      <c r="D97" s="19">
        <f t="shared" si="3"/>
        <v>44253</v>
      </c>
      <c r="E97" s="16"/>
    </row>
    <row r="98" spans="1:5" x14ac:dyDescent="0.2">
      <c r="A98" s="1">
        <v>2021</v>
      </c>
      <c r="B98" s="4">
        <v>8</v>
      </c>
      <c r="C98">
        <f t="shared" si="2"/>
        <v>2</v>
      </c>
      <c r="D98" s="19">
        <f t="shared" si="3"/>
        <v>44246</v>
      </c>
      <c r="E98" s="16"/>
    </row>
    <row r="99" spans="1:5" x14ac:dyDescent="0.2">
      <c r="A99" s="1">
        <v>2021</v>
      </c>
      <c r="B99" s="4">
        <v>7</v>
      </c>
      <c r="C99">
        <f t="shared" si="2"/>
        <v>2</v>
      </c>
      <c r="D99" s="19">
        <f t="shared" si="3"/>
        <v>44239</v>
      </c>
      <c r="E99" s="16"/>
    </row>
    <row r="100" spans="1:5" x14ac:dyDescent="0.2">
      <c r="A100" s="1">
        <v>2021</v>
      </c>
      <c r="B100" s="4">
        <v>6</v>
      </c>
      <c r="C100">
        <f t="shared" si="2"/>
        <v>2</v>
      </c>
      <c r="D100" s="19">
        <f t="shared" si="3"/>
        <v>44232</v>
      </c>
      <c r="E100" s="16">
        <v>63</v>
      </c>
    </row>
    <row r="101" spans="1:5" x14ac:dyDescent="0.2">
      <c r="A101" s="1">
        <v>2021</v>
      </c>
      <c r="B101" s="4">
        <v>5</v>
      </c>
      <c r="C101">
        <f t="shared" si="2"/>
        <v>1</v>
      </c>
      <c r="D101" s="19">
        <f t="shared" si="3"/>
        <v>44225</v>
      </c>
      <c r="E101" s="16">
        <v>61</v>
      </c>
    </row>
    <row r="102" spans="1:5" x14ac:dyDescent="0.2">
      <c r="A102" s="1">
        <v>2021</v>
      </c>
      <c r="B102" s="4">
        <v>4</v>
      </c>
      <c r="C102">
        <f t="shared" si="2"/>
        <v>1</v>
      </c>
      <c r="D102" s="19">
        <f t="shared" si="3"/>
        <v>44218</v>
      </c>
      <c r="E102" s="16"/>
    </row>
    <row r="103" spans="1:5" x14ac:dyDescent="0.2">
      <c r="A103" s="1">
        <v>2021</v>
      </c>
      <c r="B103" s="4">
        <v>3</v>
      </c>
      <c r="C103">
        <f t="shared" si="2"/>
        <v>1</v>
      </c>
      <c r="D103" s="19">
        <f t="shared" si="3"/>
        <v>44211</v>
      </c>
      <c r="E103" s="16"/>
    </row>
    <row r="104" spans="1:5" x14ac:dyDescent="0.2">
      <c r="A104" s="1">
        <v>2021</v>
      </c>
      <c r="B104" s="4">
        <v>2</v>
      </c>
      <c r="C104">
        <f t="shared" si="2"/>
        <v>1</v>
      </c>
      <c r="D104" s="19">
        <f t="shared" si="3"/>
        <v>44204</v>
      </c>
      <c r="E104" s="16">
        <v>69</v>
      </c>
    </row>
    <row r="105" spans="1:5" x14ac:dyDescent="0.2">
      <c r="A105" s="1">
        <v>2021</v>
      </c>
      <c r="B105" s="4">
        <v>1</v>
      </c>
      <c r="C105">
        <f t="shared" si="2"/>
        <v>1</v>
      </c>
      <c r="D105" s="19">
        <f t="shared" si="3"/>
        <v>44197</v>
      </c>
      <c r="E105" s="16">
        <v>77</v>
      </c>
    </row>
    <row r="106" spans="1:5" x14ac:dyDescent="0.2">
      <c r="A106">
        <v>2020</v>
      </c>
      <c r="B106">
        <v>52</v>
      </c>
      <c r="C106">
        <f t="shared" si="2"/>
        <v>12</v>
      </c>
      <c r="D106" s="19">
        <f t="shared" si="3"/>
        <v>44188</v>
      </c>
      <c r="E106" s="16"/>
    </row>
    <row r="107" spans="1:5" x14ac:dyDescent="0.2">
      <c r="A107">
        <v>2020</v>
      </c>
      <c r="B107">
        <v>51</v>
      </c>
      <c r="C107">
        <f t="shared" si="2"/>
        <v>12</v>
      </c>
      <c r="D107" s="19">
        <f t="shared" si="3"/>
        <v>44181</v>
      </c>
      <c r="E107" s="16">
        <v>85</v>
      </c>
    </row>
    <row r="108" spans="1:5" x14ac:dyDescent="0.2">
      <c r="A108">
        <v>2020</v>
      </c>
      <c r="B108">
        <v>50</v>
      </c>
      <c r="C108">
        <f t="shared" si="2"/>
        <v>12</v>
      </c>
      <c r="D108" s="19">
        <f t="shared" si="3"/>
        <v>44174</v>
      </c>
      <c r="E108" s="16">
        <v>83</v>
      </c>
    </row>
    <row r="109" spans="1:5" x14ac:dyDescent="0.2">
      <c r="A109">
        <v>2020</v>
      </c>
      <c r="B109">
        <v>49</v>
      </c>
      <c r="C109">
        <f t="shared" si="2"/>
        <v>12</v>
      </c>
      <c r="D109" s="19">
        <f t="shared" si="3"/>
        <v>44167</v>
      </c>
      <c r="E109" s="16">
        <v>106</v>
      </c>
    </row>
    <row r="110" spans="1:5" x14ac:dyDescent="0.2">
      <c r="A110">
        <v>2020</v>
      </c>
      <c r="B110">
        <v>48</v>
      </c>
      <c r="C110">
        <f t="shared" si="2"/>
        <v>11</v>
      </c>
      <c r="D110" s="19">
        <f t="shared" si="3"/>
        <v>44160</v>
      </c>
      <c r="E110" s="16">
        <v>104</v>
      </c>
    </row>
    <row r="111" spans="1:5" x14ac:dyDescent="0.2">
      <c r="A111">
        <v>2020</v>
      </c>
      <c r="B111">
        <v>47</v>
      </c>
      <c r="C111">
        <f t="shared" si="2"/>
        <v>11</v>
      </c>
      <c r="D111" s="19">
        <f t="shared" si="3"/>
        <v>44153</v>
      </c>
      <c r="E111" s="16">
        <v>108</v>
      </c>
    </row>
    <row r="112" spans="1:5" x14ac:dyDescent="0.2">
      <c r="A112">
        <v>2020</v>
      </c>
      <c r="B112">
        <v>46</v>
      </c>
      <c r="C112">
        <f t="shared" si="2"/>
        <v>11</v>
      </c>
      <c r="D112" s="19">
        <f t="shared" si="3"/>
        <v>44146</v>
      </c>
      <c r="E112" s="16">
        <v>129</v>
      </c>
    </row>
    <row r="113" spans="1:5" x14ac:dyDescent="0.2">
      <c r="A113">
        <v>2020</v>
      </c>
      <c r="B113">
        <v>45</v>
      </c>
      <c r="C113">
        <f t="shared" si="2"/>
        <v>11</v>
      </c>
      <c r="D113" s="19">
        <f t="shared" si="3"/>
        <v>44139</v>
      </c>
      <c r="E113" s="16">
        <v>148</v>
      </c>
    </row>
    <row r="114" spans="1:5" x14ac:dyDescent="0.2">
      <c r="A114">
        <v>2020</v>
      </c>
      <c r="B114">
        <v>44</v>
      </c>
      <c r="C114">
        <f t="shared" si="2"/>
        <v>10</v>
      </c>
      <c r="D114" s="19">
        <f t="shared" si="3"/>
        <v>44132</v>
      </c>
      <c r="E114" s="16">
        <v>137</v>
      </c>
    </row>
    <row r="115" spans="1:5" x14ac:dyDescent="0.2">
      <c r="A115">
        <v>2020</v>
      </c>
      <c r="B115">
        <v>43</v>
      </c>
      <c r="C115">
        <f t="shared" si="2"/>
        <v>10</v>
      </c>
      <c r="D115" s="19">
        <f t="shared" si="3"/>
        <v>44125</v>
      </c>
      <c r="E115" s="16">
        <v>165</v>
      </c>
    </row>
    <row r="116" spans="1:5" x14ac:dyDescent="0.2">
      <c r="A116">
        <v>2020</v>
      </c>
      <c r="B116">
        <v>42</v>
      </c>
      <c r="C116">
        <f t="shared" si="2"/>
        <v>10</v>
      </c>
      <c r="D116" s="19">
        <f t="shared" si="3"/>
        <v>44118</v>
      </c>
      <c r="E116" s="16">
        <v>156</v>
      </c>
    </row>
    <row r="117" spans="1:5" x14ac:dyDescent="0.2">
      <c r="A117">
        <v>2020</v>
      </c>
      <c r="B117">
        <v>41</v>
      </c>
      <c r="C117">
        <f t="shared" si="2"/>
        <v>10</v>
      </c>
      <c r="D117" s="19">
        <f t="shared" si="3"/>
        <v>44111</v>
      </c>
      <c r="E117" s="16">
        <v>145</v>
      </c>
    </row>
    <row r="118" spans="1:5" x14ac:dyDescent="0.2">
      <c r="A118">
        <v>2020</v>
      </c>
      <c r="B118">
        <v>40</v>
      </c>
      <c r="C118">
        <f t="shared" si="2"/>
        <v>9</v>
      </c>
      <c r="D118" s="19">
        <f t="shared" si="3"/>
        <v>44104</v>
      </c>
      <c r="E118" s="16">
        <v>157</v>
      </c>
    </row>
    <row r="119" spans="1:5" x14ac:dyDescent="0.2">
      <c r="A119">
        <v>2020</v>
      </c>
      <c r="B119">
        <v>39</v>
      </c>
      <c r="C119">
        <f t="shared" si="2"/>
        <v>9</v>
      </c>
      <c r="D119" s="19">
        <f t="shared" si="3"/>
        <v>44097</v>
      </c>
      <c r="E119" s="16">
        <v>150</v>
      </c>
    </row>
    <row r="120" spans="1:5" x14ac:dyDescent="0.2">
      <c r="A120">
        <v>2020</v>
      </c>
      <c r="B120">
        <v>38</v>
      </c>
      <c r="C120">
        <f t="shared" si="2"/>
        <v>9</v>
      </c>
      <c r="D120" s="19">
        <f t="shared" si="3"/>
        <v>44090</v>
      </c>
      <c r="E120" s="16">
        <v>150</v>
      </c>
    </row>
    <row r="121" spans="1:5" x14ac:dyDescent="0.2">
      <c r="A121">
        <v>2020</v>
      </c>
      <c r="B121">
        <v>37</v>
      </c>
      <c r="C121">
        <f t="shared" si="2"/>
        <v>9</v>
      </c>
      <c r="D121" s="19">
        <f t="shared" si="3"/>
        <v>44083</v>
      </c>
      <c r="E121" s="16">
        <v>200</v>
      </c>
    </row>
    <row r="122" spans="1:5" x14ac:dyDescent="0.2">
      <c r="A122">
        <v>2020</v>
      </c>
      <c r="B122">
        <v>36</v>
      </c>
      <c r="C122">
        <f t="shared" si="2"/>
        <v>9</v>
      </c>
      <c r="D122" s="19">
        <f t="shared" si="3"/>
        <v>44076</v>
      </c>
      <c r="E122" s="16"/>
    </row>
    <row r="123" spans="1:5" x14ac:dyDescent="0.2">
      <c r="A123">
        <v>2020</v>
      </c>
      <c r="B123">
        <v>35</v>
      </c>
      <c r="C123">
        <f t="shared" si="2"/>
        <v>8</v>
      </c>
      <c r="D123" s="19">
        <f t="shared" si="3"/>
        <v>44069</v>
      </c>
      <c r="E123" s="16">
        <v>211</v>
      </c>
    </row>
    <row r="124" spans="1:5" x14ac:dyDescent="0.2">
      <c r="A124">
        <v>2020</v>
      </c>
      <c r="B124">
        <v>34</v>
      </c>
      <c r="C124">
        <f t="shared" si="2"/>
        <v>8</v>
      </c>
      <c r="D124" s="19">
        <f t="shared" si="3"/>
        <v>44062</v>
      </c>
      <c r="E124" s="16">
        <v>209</v>
      </c>
    </row>
    <row r="125" spans="1:5" x14ac:dyDescent="0.2">
      <c r="A125">
        <v>2020</v>
      </c>
      <c r="B125">
        <v>33</v>
      </c>
      <c r="C125">
        <f t="shared" si="2"/>
        <v>8</v>
      </c>
      <c r="D125" s="19">
        <f t="shared" si="3"/>
        <v>44055</v>
      </c>
      <c r="E125" s="16">
        <v>188</v>
      </c>
    </row>
    <row r="126" spans="1:5" x14ac:dyDescent="0.2">
      <c r="A126">
        <v>2020</v>
      </c>
      <c r="B126">
        <v>32</v>
      </c>
      <c r="C126">
        <f t="shared" si="2"/>
        <v>8</v>
      </c>
      <c r="D126" s="19">
        <f t="shared" si="3"/>
        <v>44048</v>
      </c>
      <c r="E126" s="16">
        <v>191</v>
      </c>
    </row>
    <row r="127" spans="1:5" x14ac:dyDescent="0.2">
      <c r="A127">
        <v>2020</v>
      </c>
      <c r="B127">
        <v>31</v>
      </c>
      <c r="C127">
        <f t="shared" si="2"/>
        <v>7</v>
      </c>
      <c r="D127" s="19">
        <f t="shared" si="3"/>
        <v>44041</v>
      </c>
      <c r="E127" s="16"/>
    </row>
    <row r="128" spans="1:5" x14ac:dyDescent="0.2">
      <c r="A128">
        <v>2020</v>
      </c>
      <c r="B128">
        <v>30</v>
      </c>
      <c r="C128">
        <f t="shared" si="2"/>
        <v>7</v>
      </c>
      <c r="D128" s="19">
        <f t="shared" si="3"/>
        <v>44034</v>
      </c>
      <c r="E128" s="16"/>
    </row>
    <row r="129" spans="1:5" x14ac:dyDescent="0.2">
      <c r="A129">
        <v>2020</v>
      </c>
      <c r="B129">
        <v>29</v>
      </c>
      <c r="C129">
        <f t="shared" si="2"/>
        <v>7</v>
      </c>
      <c r="D129" s="19">
        <f t="shared" si="3"/>
        <v>44027</v>
      </c>
      <c r="E129" s="16">
        <v>258</v>
      </c>
    </row>
    <row r="130" spans="1:5" x14ac:dyDescent="0.2">
      <c r="A130">
        <v>2020</v>
      </c>
      <c r="B130">
        <v>28</v>
      </c>
      <c r="C130">
        <f t="shared" ref="C130:C193" si="4">MONTH(D130)</f>
        <v>7</v>
      </c>
      <c r="D130" s="19">
        <f t="shared" ref="D130:D193" si="5">DATE(YEAR(DATE(A130,1,1)),1,1)+7*(B130-1)</f>
        <v>44020</v>
      </c>
      <c r="E130" s="16">
        <v>310</v>
      </c>
    </row>
    <row r="131" spans="1:5" x14ac:dyDescent="0.2">
      <c r="A131">
        <v>2020</v>
      </c>
      <c r="B131">
        <v>27</v>
      </c>
      <c r="C131">
        <f t="shared" si="4"/>
        <v>7</v>
      </c>
      <c r="D131" s="19">
        <f t="shared" si="5"/>
        <v>44013</v>
      </c>
      <c r="E131" s="16">
        <v>340</v>
      </c>
    </row>
    <row r="132" spans="1:5" x14ac:dyDescent="0.2">
      <c r="A132">
        <v>2020</v>
      </c>
      <c r="B132">
        <v>26</v>
      </c>
      <c r="C132">
        <f t="shared" si="4"/>
        <v>6</v>
      </c>
      <c r="D132" s="19">
        <f t="shared" si="5"/>
        <v>44006</v>
      </c>
      <c r="E132" s="16">
        <v>369</v>
      </c>
    </row>
    <row r="133" spans="1:5" x14ac:dyDescent="0.2">
      <c r="A133">
        <v>2020</v>
      </c>
      <c r="B133">
        <v>25</v>
      </c>
      <c r="C133">
        <f t="shared" si="4"/>
        <v>6</v>
      </c>
      <c r="D133" s="19">
        <f t="shared" si="5"/>
        <v>43999</v>
      </c>
      <c r="E133" s="16">
        <v>397</v>
      </c>
    </row>
    <row r="134" spans="1:5" x14ac:dyDescent="0.2">
      <c r="A134">
        <v>2020</v>
      </c>
      <c r="B134">
        <v>24</v>
      </c>
      <c r="C134">
        <f t="shared" si="4"/>
        <v>6</v>
      </c>
      <c r="D134" s="19">
        <f t="shared" si="5"/>
        <v>43992</v>
      </c>
      <c r="E134" s="16">
        <v>336</v>
      </c>
    </row>
    <row r="135" spans="1:5" x14ac:dyDescent="0.2">
      <c r="A135">
        <v>2020</v>
      </c>
      <c r="B135">
        <v>23</v>
      </c>
      <c r="C135">
        <f t="shared" si="4"/>
        <v>6</v>
      </c>
      <c r="D135" s="19">
        <f t="shared" si="5"/>
        <v>43985</v>
      </c>
      <c r="E135" s="16">
        <v>383</v>
      </c>
    </row>
    <row r="136" spans="1:5" x14ac:dyDescent="0.2">
      <c r="A136">
        <v>2020</v>
      </c>
      <c r="B136">
        <v>22</v>
      </c>
      <c r="C136">
        <f t="shared" si="4"/>
        <v>5</v>
      </c>
      <c r="D136" s="19">
        <f t="shared" si="5"/>
        <v>43978</v>
      </c>
      <c r="E136" s="16">
        <v>304</v>
      </c>
    </row>
    <row r="137" spans="1:5" x14ac:dyDescent="0.2">
      <c r="A137">
        <v>2020</v>
      </c>
      <c r="B137">
        <v>21</v>
      </c>
      <c r="C137">
        <f t="shared" si="4"/>
        <v>5</v>
      </c>
      <c r="D137" s="19">
        <f t="shared" si="5"/>
        <v>43971</v>
      </c>
      <c r="E137" s="16">
        <v>334</v>
      </c>
    </row>
    <row r="138" spans="1:5" x14ac:dyDescent="0.2">
      <c r="A138">
        <v>2020</v>
      </c>
      <c r="B138">
        <v>20</v>
      </c>
      <c r="C138">
        <f t="shared" si="4"/>
        <v>5</v>
      </c>
      <c r="D138" s="19">
        <f t="shared" si="5"/>
        <v>43964</v>
      </c>
      <c r="E138" s="16">
        <v>275</v>
      </c>
    </row>
    <row r="139" spans="1:5" x14ac:dyDescent="0.2">
      <c r="A139">
        <v>2020</v>
      </c>
      <c r="B139">
        <v>19</v>
      </c>
      <c r="C139">
        <f t="shared" si="4"/>
        <v>5</v>
      </c>
      <c r="D139" s="19">
        <f t="shared" si="5"/>
        <v>43957</v>
      </c>
      <c r="E139" s="16"/>
    </row>
    <row r="140" spans="1:5" x14ac:dyDescent="0.2">
      <c r="A140">
        <v>2020</v>
      </c>
      <c r="B140">
        <v>18</v>
      </c>
      <c r="C140">
        <f t="shared" si="4"/>
        <v>4</v>
      </c>
      <c r="D140" s="19">
        <f t="shared" si="5"/>
        <v>43950</v>
      </c>
      <c r="E140" s="16">
        <v>224</v>
      </c>
    </row>
    <row r="141" spans="1:5" x14ac:dyDescent="0.2">
      <c r="A141">
        <v>2020</v>
      </c>
      <c r="B141">
        <v>17</v>
      </c>
      <c r="C141">
        <f t="shared" si="4"/>
        <v>4</v>
      </c>
      <c r="D141" s="19">
        <f t="shared" si="5"/>
        <v>43943</v>
      </c>
      <c r="E141" s="16">
        <v>198</v>
      </c>
    </row>
    <row r="142" spans="1:5" x14ac:dyDescent="0.2">
      <c r="A142">
        <v>2020</v>
      </c>
      <c r="B142">
        <v>16</v>
      </c>
      <c r="C142">
        <f t="shared" si="4"/>
        <v>4</v>
      </c>
      <c r="D142" s="19">
        <f t="shared" si="5"/>
        <v>43936</v>
      </c>
      <c r="E142" s="16">
        <v>151</v>
      </c>
    </row>
    <row r="143" spans="1:5" x14ac:dyDescent="0.2">
      <c r="A143">
        <v>2020</v>
      </c>
      <c r="B143">
        <v>15</v>
      </c>
      <c r="C143">
        <f t="shared" si="4"/>
        <v>4</v>
      </c>
      <c r="D143" s="19">
        <f t="shared" si="5"/>
        <v>43929</v>
      </c>
      <c r="E143" s="16">
        <v>117</v>
      </c>
    </row>
    <row r="144" spans="1:5" x14ac:dyDescent="0.2">
      <c r="A144">
        <v>2020</v>
      </c>
      <c r="B144">
        <v>14</v>
      </c>
      <c r="C144">
        <f t="shared" si="4"/>
        <v>4</v>
      </c>
      <c r="D144" s="19">
        <f t="shared" si="5"/>
        <v>43922</v>
      </c>
      <c r="E144" s="16">
        <v>116</v>
      </c>
    </row>
    <row r="145" spans="1:5" x14ac:dyDescent="0.2">
      <c r="A145">
        <v>2020</v>
      </c>
      <c r="B145">
        <v>13</v>
      </c>
      <c r="C145">
        <f t="shared" si="4"/>
        <v>3</v>
      </c>
      <c r="D145" s="19">
        <f t="shared" si="5"/>
        <v>43915</v>
      </c>
      <c r="E145" s="16">
        <v>131</v>
      </c>
    </row>
    <row r="146" spans="1:5" x14ac:dyDescent="0.2">
      <c r="A146">
        <v>2020</v>
      </c>
      <c r="B146">
        <v>12</v>
      </c>
      <c r="C146">
        <f t="shared" si="4"/>
        <v>3</v>
      </c>
      <c r="D146" s="19">
        <f t="shared" si="5"/>
        <v>43908</v>
      </c>
      <c r="E146" s="16">
        <v>165</v>
      </c>
    </row>
    <row r="147" spans="1:5" x14ac:dyDescent="0.2">
      <c r="A147">
        <v>2020</v>
      </c>
      <c r="B147">
        <v>11</v>
      </c>
      <c r="C147">
        <f t="shared" si="4"/>
        <v>3</v>
      </c>
      <c r="D147" s="19">
        <f t="shared" si="5"/>
        <v>43901</v>
      </c>
      <c r="E147" s="16">
        <v>175</v>
      </c>
    </row>
    <row r="148" spans="1:5" x14ac:dyDescent="0.2">
      <c r="A148">
        <v>2020</v>
      </c>
      <c r="B148">
        <v>10</v>
      </c>
      <c r="C148">
        <f t="shared" si="4"/>
        <v>3</v>
      </c>
      <c r="D148" s="19">
        <f t="shared" si="5"/>
        <v>43894</v>
      </c>
      <c r="E148" s="16">
        <v>185</v>
      </c>
    </row>
    <row r="149" spans="1:5" x14ac:dyDescent="0.2">
      <c r="A149">
        <v>2020</v>
      </c>
      <c r="B149">
        <v>9</v>
      </c>
      <c r="C149">
        <f t="shared" si="4"/>
        <v>2</v>
      </c>
      <c r="D149" s="19">
        <f t="shared" si="5"/>
        <v>43887</v>
      </c>
      <c r="E149" s="16">
        <v>175</v>
      </c>
    </row>
    <row r="150" spans="1:5" x14ac:dyDescent="0.2">
      <c r="A150">
        <v>2020</v>
      </c>
      <c r="B150">
        <v>8</v>
      </c>
      <c r="C150">
        <f t="shared" si="4"/>
        <v>2</v>
      </c>
      <c r="D150" s="19">
        <f t="shared" si="5"/>
        <v>43880</v>
      </c>
      <c r="E150" s="16">
        <v>179</v>
      </c>
    </row>
    <row r="151" spans="1:5" x14ac:dyDescent="0.2">
      <c r="A151">
        <v>2020</v>
      </c>
      <c r="B151">
        <v>7</v>
      </c>
      <c r="C151">
        <f t="shared" si="4"/>
        <v>2</v>
      </c>
      <c r="D151" s="19">
        <f t="shared" si="5"/>
        <v>43873</v>
      </c>
      <c r="E151" s="16">
        <v>200</v>
      </c>
    </row>
    <row r="152" spans="1:5" x14ac:dyDescent="0.2">
      <c r="A152">
        <v>2020</v>
      </c>
      <c r="B152">
        <v>6</v>
      </c>
      <c r="C152">
        <f t="shared" si="4"/>
        <v>2</v>
      </c>
      <c r="D152" s="19">
        <f t="shared" si="5"/>
        <v>43866</v>
      </c>
      <c r="E152" s="16">
        <v>229</v>
      </c>
    </row>
    <row r="153" spans="1:5" x14ac:dyDescent="0.2">
      <c r="A153">
        <v>2020</v>
      </c>
      <c r="B153">
        <v>5</v>
      </c>
      <c r="C153">
        <f t="shared" si="4"/>
        <v>1</v>
      </c>
      <c r="D153" s="19">
        <f t="shared" si="5"/>
        <v>43859</v>
      </c>
      <c r="E153" s="16">
        <v>230</v>
      </c>
    </row>
    <row r="154" spans="1:5" x14ac:dyDescent="0.2">
      <c r="A154">
        <v>2020</v>
      </c>
      <c r="B154">
        <v>4</v>
      </c>
      <c r="C154">
        <f t="shared" si="4"/>
        <v>1</v>
      </c>
      <c r="D154" s="19">
        <f t="shared" si="5"/>
        <v>43852</v>
      </c>
      <c r="E154" s="16">
        <v>229</v>
      </c>
    </row>
    <row r="155" spans="1:5" x14ac:dyDescent="0.2">
      <c r="A155">
        <v>2020</v>
      </c>
      <c r="B155">
        <v>3</v>
      </c>
      <c r="C155">
        <f t="shared" si="4"/>
        <v>1</v>
      </c>
      <c r="D155" s="19">
        <f t="shared" si="5"/>
        <v>43845</v>
      </c>
      <c r="E155" s="16">
        <v>303</v>
      </c>
    </row>
    <row r="156" spans="1:5" x14ac:dyDescent="0.2">
      <c r="A156">
        <v>2020</v>
      </c>
      <c r="B156">
        <v>2</v>
      </c>
      <c r="C156">
        <f t="shared" si="4"/>
        <v>1</v>
      </c>
      <c r="D156" s="19">
        <f t="shared" si="5"/>
        <v>43838</v>
      </c>
      <c r="E156" s="16">
        <v>261</v>
      </c>
    </row>
    <row r="157" spans="1:5" x14ac:dyDescent="0.2">
      <c r="A157">
        <v>2020</v>
      </c>
      <c r="B157">
        <v>1</v>
      </c>
      <c r="C157">
        <f t="shared" si="4"/>
        <v>1</v>
      </c>
      <c r="D157" s="19">
        <f t="shared" si="5"/>
        <v>43831</v>
      </c>
      <c r="E157" s="16">
        <v>199</v>
      </c>
    </row>
    <row r="158" spans="1:5" x14ac:dyDescent="0.2">
      <c r="A158">
        <v>2019</v>
      </c>
      <c r="B158">
        <v>52</v>
      </c>
      <c r="C158">
        <f t="shared" si="4"/>
        <v>12</v>
      </c>
      <c r="D158" s="19">
        <f t="shared" si="5"/>
        <v>43823</v>
      </c>
      <c r="E158" s="16">
        <v>218</v>
      </c>
    </row>
    <row r="159" spans="1:5" x14ac:dyDescent="0.2">
      <c r="A159">
        <v>2019</v>
      </c>
      <c r="B159">
        <v>51</v>
      </c>
      <c r="C159">
        <f t="shared" si="4"/>
        <v>12</v>
      </c>
      <c r="D159" s="19">
        <f t="shared" si="5"/>
        <v>43816</v>
      </c>
      <c r="E159" s="16">
        <v>248</v>
      </c>
    </row>
    <row r="160" spans="1:5" x14ac:dyDescent="0.2">
      <c r="A160">
        <v>2019</v>
      </c>
      <c r="B160">
        <v>50</v>
      </c>
      <c r="C160">
        <f t="shared" si="4"/>
        <v>12</v>
      </c>
      <c r="D160" s="19">
        <f t="shared" si="5"/>
        <v>43809</v>
      </c>
      <c r="E160" s="16">
        <v>233</v>
      </c>
    </row>
    <row r="161" spans="1:5" x14ac:dyDescent="0.2">
      <c r="A161">
        <v>2019</v>
      </c>
      <c r="B161">
        <v>49</v>
      </c>
      <c r="C161">
        <f t="shared" si="4"/>
        <v>12</v>
      </c>
      <c r="D161" s="19">
        <f t="shared" si="5"/>
        <v>43802</v>
      </c>
      <c r="E161" s="16">
        <v>247</v>
      </c>
    </row>
    <row r="162" spans="1:5" x14ac:dyDescent="0.2">
      <c r="A162">
        <v>2019</v>
      </c>
      <c r="B162">
        <v>48</v>
      </c>
      <c r="C162">
        <f t="shared" si="4"/>
        <v>11</v>
      </c>
      <c r="D162" s="19">
        <f t="shared" si="5"/>
        <v>43795</v>
      </c>
      <c r="E162" s="16">
        <v>241</v>
      </c>
    </row>
    <row r="163" spans="1:5" x14ac:dyDescent="0.2">
      <c r="A163">
        <v>2019</v>
      </c>
      <c r="B163">
        <v>47</v>
      </c>
      <c r="C163">
        <f t="shared" si="4"/>
        <v>11</v>
      </c>
      <c r="D163" s="19">
        <f t="shared" si="5"/>
        <v>43788</v>
      </c>
      <c r="E163" s="16">
        <v>206</v>
      </c>
    </row>
    <row r="164" spans="1:5" x14ac:dyDescent="0.2">
      <c r="A164">
        <v>2019</v>
      </c>
      <c r="B164">
        <v>46</v>
      </c>
      <c r="C164">
        <f t="shared" si="4"/>
        <v>11</v>
      </c>
      <c r="D164" s="19">
        <f t="shared" si="5"/>
        <v>43781</v>
      </c>
      <c r="E164" s="16">
        <v>222</v>
      </c>
    </row>
    <row r="165" spans="1:5" x14ac:dyDescent="0.2">
      <c r="A165">
        <v>2019</v>
      </c>
      <c r="B165">
        <v>45</v>
      </c>
      <c r="C165">
        <f t="shared" si="4"/>
        <v>11</v>
      </c>
      <c r="D165" s="19">
        <f t="shared" si="5"/>
        <v>43774</v>
      </c>
      <c r="E165" s="16">
        <v>184</v>
      </c>
    </row>
    <row r="166" spans="1:5" x14ac:dyDescent="0.2">
      <c r="A166">
        <v>2019</v>
      </c>
      <c r="B166">
        <v>44</v>
      </c>
      <c r="C166">
        <f t="shared" si="4"/>
        <v>10</v>
      </c>
      <c r="D166" s="19">
        <f t="shared" si="5"/>
        <v>43767</v>
      </c>
      <c r="E166" s="16">
        <v>190</v>
      </c>
    </row>
    <row r="167" spans="1:5" x14ac:dyDescent="0.2">
      <c r="A167">
        <v>2019</v>
      </c>
      <c r="B167">
        <v>43</v>
      </c>
      <c r="C167">
        <f t="shared" si="4"/>
        <v>10</v>
      </c>
      <c r="D167" s="19">
        <f t="shared" si="5"/>
        <v>43760</v>
      </c>
      <c r="E167" s="16">
        <v>193</v>
      </c>
    </row>
    <row r="168" spans="1:5" x14ac:dyDescent="0.2">
      <c r="A168">
        <v>2019</v>
      </c>
      <c r="B168">
        <v>42</v>
      </c>
      <c r="C168">
        <f t="shared" si="4"/>
        <v>10</v>
      </c>
      <c r="D168" s="19">
        <f t="shared" si="5"/>
        <v>43753</v>
      </c>
      <c r="E168" s="16">
        <v>209</v>
      </c>
    </row>
    <row r="169" spans="1:5" x14ac:dyDescent="0.2">
      <c r="A169">
        <v>2019</v>
      </c>
      <c r="B169">
        <v>41</v>
      </c>
      <c r="C169">
        <f t="shared" si="4"/>
        <v>10</v>
      </c>
      <c r="D169" s="19">
        <f t="shared" si="5"/>
        <v>43746</v>
      </c>
      <c r="E169" s="16">
        <v>210</v>
      </c>
    </row>
    <row r="170" spans="1:5" x14ac:dyDescent="0.2">
      <c r="A170">
        <v>2019</v>
      </c>
      <c r="B170">
        <v>40</v>
      </c>
      <c r="C170">
        <f t="shared" si="4"/>
        <v>10</v>
      </c>
      <c r="D170" s="19">
        <f t="shared" si="5"/>
        <v>43739</v>
      </c>
      <c r="E170" s="16">
        <v>278</v>
      </c>
    </row>
    <row r="171" spans="1:5" x14ac:dyDescent="0.2">
      <c r="A171">
        <v>2019</v>
      </c>
      <c r="B171">
        <v>39</v>
      </c>
      <c r="C171">
        <f t="shared" si="4"/>
        <v>9</v>
      </c>
      <c r="D171" s="19">
        <f t="shared" si="5"/>
        <v>43732</v>
      </c>
      <c r="E171" s="16">
        <v>301</v>
      </c>
    </row>
    <row r="172" spans="1:5" x14ac:dyDescent="0.2">
      <c r="A172">
        <v>2019</v>
      </c>
      <c r="B172">
        <v>38</v>
      </c>
      <c r="C172">
        <f t="shared" si="4"/>
        <v>9</v>
      </c>
      <c r="D172" s="19">
        <f t="shared" si="5"/>
        <v>43725</v>
      </c>
      <c r="E172" s="16">
        <v>306</v>
      </c>
    </row>
    <row r="173" spans="1:5" x14ac:dyDescent="0.2">
      <c r="A173">
        <v>2019</v>
      </c>
      <c r="B173">
        <v>37</v>
      </c>
      <c r="C173">
        <f t="shared" si="4"/>
        <v>9</v>
      </c>
      <c r="D173" s="19">
        <f t="shared" si="5"/>
        <v>43718</v>
      </c>
      <c r="E173" s="16">
        <v>296</v>
      </c>
    </row>
    <row r="174" spans="1:5" x14ac:dyDescent="0.2">
      <c r="A174">
        <v>2019</v>
      </c>
      <c r="B174">
        <v>36</v>
      </c>
      <c r="C174">
        <f t="shared" si="4"/>
        <v>9</v>
      </c>
      <c r="D174" s="19">
        <f t="shared" si="5"/>
        <v>43711</v>
      </c>
      <c r="E174" s="16">
        <v>313</v>
      </c>
    </row>
    <row r="175" spans="1:5" x14ac:dyDescent="0.2">
      <c r="A175">
        <v>2019</v>
      </c>
      <c r="B175">
        <v>35</v>
      </c>
      <c r="C175">
        <f t="shared" si="4"/>
        <v>8</v>
      </c>
      <c r="D175" s="19">
        <f t="shared" si="5"/>
        <v>43704</v>
      </c>
      <c r="E175" s="16">
        <v>332</v>
      </c>
    </row>
    <row r="176" spans="1:5" x14ac:dyDescent="0.2">
      <c r="A176">
        <v>2019</v>
      </c>
      <c r="B176">
        <v>34</v>
      </c>
      <c r="C176">
        <f t="shared" si="4"/>
        <v>8</v>
      </c>
      <c r="D176" s="19">
        <f t="shared" si="5"/>
        <v>43697</v>
      </c>
      <c r="E176" s="16">
        <v>391</v>
      </c>
    </row>
    <row r="177" spans="1:5" x14ac:dyDescent="0.2">
      <c r="A177">
        <v>2019</v>
      </c>
      <c r="B177">
        <v>33</v>
      </c>
      <c r="C177">
        <f t="shared" si="4"/>
        <v>8</v>
      </c>
      <c r="D177" s="19">
        <f t="shared" si="5"/>
        <v>43690</v>
      </c>
      <c r="E177" s="16">
        <v>386</v>
      </c>
    </row>
    <row r="178" spans="1:5" x14ac:dyDescent="0.2">
      <c r="A178">
        <v>2019</v>
      </c>
      <c r="B178">
        <v>32</v>
      </c>
      <c r="C178">
        <f t="shared" si="4"/>
        <v>8</v>
      </c>
      <c r="D178" s="19">
        <f t="shared" si="5"/>
        <v>43683</v>
      </c>
      <c r="E178" s="16">
        <v>456</v>
      </c>
    </row>
    <row r="179" spans="1:5" x14ac:dyDescent="0.2">
      <c r="A179">
        <v>2019</v>
      </c>
      <c r="B179">
        <v>31</v>
      </c>
      <c r="C179">
        <f t="shared" si="4"/>
        <v>7</v>
      </c>
      <c r="D179" s="19">
        <f t="shared" si="5"/>
        <v>43676</v>
      </c>
      <c r="E179" s="16">
        <v>395</v>
      </c>
    </row>
    <row r="180" spans="1:5" x14ac:dyDescent="0.2">
      <c r="A180">
        <v>2019</v>
      </c>
      <c r="B180">
        <v>30</v>
      </c>
      <c r="C180">
        <f t="shared" si="4"/>
        <v>7</v>
      </c>
      <c r="D180" s="19">
        <f t="shared" si="5"/>
        <v>43669</v>
      </c>
      <c r="E180" s="16">
        <v>575</v>
      </c>
    </row>
    <row r="181" spans="1:5" x14ac:dyDescent="0.2">
      <c r="A181">
        <v>2019</v>
      </c>
      <c r="B181">
        <v>29</v>
      </c>
      <c r="C181">
        <f t="shared" si="4"/>
        <v>7</v>
      </c>
      <c r="D181" s="19">
        <f t="shared" si="5"/>
        <v>43662</v>
      </c>
      <c r="E181" s="16">
        <v>485</v>
      </c>
    </row>
    <row r="182" spans="1:5" x14ac:dyDescent="0.2">
      <c r="A182">
        <v>2019</v>
      </c>
      <c r="B182">
        <v>28</v>
      </c>
      <c r="C182">
        <f t="shared" si="4"/>
        <v>7</v>
      </c>
      <c r="D182" s="19">
        <f t="shared" si="5"/>
        <v>43655</v>
      </c>
      <c r="E182" s="16">
        <v>524</v>
      </c>
    </row>
    <row r="183" spans="1:5" x14ac:dyDescent="0.2">
      <c r="A183">
        <v>2019</v>
      </c>
      <c r="B183">
        <v>27</v>
      </c>
      <c r="C183">
        <f t="shared" si="4"/>
        <v>7</v>
      </c>
      <c r="D183" s="19">
        <f t="shared" si="5"/>
        <v>43648</v>
      </c>
      <c r="E183" s="16">
        <v>537</v>
      </c>
    </row>
    <row r="184" spans="1:5" x14ac:dyDescent="0.2">
      <c r="A184">
        <v>2019</v>
      </c>
      <c r="B184">
        <v>26</v>
      </c>
      <c r="C184">
        <f t="shared" si="4"/>
        <v>6</v>
      </c>
      <c r="D184" s="19">
        <f t="shared" si="5"/>
        <v>43641</v>
      </c>
      <c r="E184" s="16">
        <v>537</v>
      </c>
    </row>
    <row r="185" spans="1:5" x14ac:dyDescent="0.2">
      <c r="A185">
        <v>2019</v>
      </c>
      <c r="B185">
        <v>25</v>
      </c>
      <c r="C185">
        <f t="shared" si="4"/>
        <v>6</v>
      </c>
      <c r="D185" s="19">
        <f t="shared" si="5"/>
        <v>43634</v>
      </c>
      <c r="E185" s="16">
        <v>434</v>
      </c>
    </row>
    <row r="186" spans="1:5" x14ac:dyDescent="0.2">
      <c r="A186">
        <v>2019</v>
      </c>
      <c r="B186">
        <v>24</v>
      </c>
      <c r="C186">
        <f t="shared" si="4"/>
        <v>6</v>
      </c>
      <c r="D186" s="19">
        <f t="shared" si="5"/>
        <v>43627</v>
      </c>
      <c r="E186" s="16">
        <v>401</v>
      </c>
    </row>
    <row r="187" spans="1:5" x14ac:dyDescent="0.2">
      <c r="A187">
        <v>2019</v>
      </c>
      <c r="B187">
        <v>23</v>
      </c>
      <c r="C187">
        <f t="shared" si="4"/>
        <v>6</v>
      </c>
      <c r="D187" s="19">
        <f t="shared" si="5"/>
        <v>43620</v>
      </c>
      <c r="E187" s="16">
        <v>253</v>
      </c>
    </row>
    <row r="188" spans="1:5" x14ac:dyDescent="0.2">
      <c r="A188">
        <v>2019</v>
      </c>
      <c r="B188">
        <v>22</v>
      </c>
      <c r="C188">
        <f t="shared" si="4"/>
        <v>5</v>
      </c>
      <c r="D188" s="19">
        <f t="shared" si="5"/>
        <v>43613</v>
      </c>
      <c r="E188" s="16">
        <v>407</v>
      </c>
    </row>
    <row r="189" spans="1:5" x14ac:dyDescent="0.2">
      <c r="A189">
        <v>2019</v>
      </c>
      <c r="B189">
        <v>21</v>
      </c>
      <c r="C189">
        <f t="shared" si="4"/>
        <v>5</v>
      </c>
      <c r="D189" s="19">
        <f t="shared" si="5"/>
        <v>43606</v>
      </c>
      <c r="E189" s="16">
        <v>289</v>
      </c>
    </row>
    <row r="190" spans="1:5" x14ac:dyDescent="0.2">
      <c r="A190">
        <v>2019</v>
      </c>
      <c r="B190">
        <v>20</v>
      </c>
      <c r="C190">
        <f t="shared" si="4"/>
        <v>5</v>
      </c>
      <c r="D190" s="19">
        <f t="shared" si="5"/>
        <v>43599</v>
      </c>
      <c r="E190" s="16"/>
    </row>
    <row r="191" spans="1:5" x14ac:dyDescent="0.2">
      <c r="A191">
        <v>2019</v>
      </c>
      <c r="B191">
        <v>19</v>
      </c>
      <c r="C191">
        <f t="shared" si="4"/>
        <v>5</v>
      </c>
      <c r="D191" s="19">
        <f t="shared" si="5"/>
        <v>43592</v>
      </c>
      <c r="E191" s="16">
        <v>280</v>
      </c>
    </row>
    <row r="192" spans="1:5" x14ac:dyDescent="0.2">
      <c r="A192">
        <v>2019</v>
      </c>
      <c r="B192">
        <v>18</v>
      </c>
      <c r="C192">
        <f t="shared" si="4"/>
        <v>4</v>
      </c>
      <c r="D192" s="19">
        <f t="shared" si="5"/>
        <v>43585</v>
      </c>
      <c r="E192" s="16">
        <v>183</v>
      </c>
    </row>
    <row r="193" spans="1:5" x14ac:dyDescent="0.2">
      <c r="A193">
        <v>2019</v>
      </c>
      <c r="B193">
        <v>17</v>
      </c>
      <c r="C193">
        <f t="shared" si="4"/>
        <v>4</v>
      </c>
      <c r="D193" s="19">
        <f t="shared" si="5"/>
        <v>43578</v>
      </c>
      <c r="E193" s="16">
        <v>247</v>
      </c>
    </row>
    <row r="194" spans="1:5" x14ac:dyDescent="0.2">
      <c r="A194">
        <v>2019</v>
      </c>
      <c r="B194">
        <v>16</v>
      </c>
      <c r="C194">
        <f t="shared" ref="C194:C257" si="6">MONTH(D194)</f>
        <v>4</v>
      </c>
      <c r="D194" s="19">
        <f t="shared" ref="D194:D257" si="7">DATE(YEAR(DATE(A194,1,1)),1,1)+7*(B194-1)</f>
        <v>43571</v>
      </c>
      <c r="E194" s="16">
        <v>215</v>
      </c>
    </row>
    <row r="195" spans="1:5" x14ac:dyDescent="0.2">
      <c r="A195">
        <v>2019</v>
      </c>
      <c r="B195">
        <v>15</v>
      </c>
      <c r="C195">
        <f t="shared" si="6"/>
        <v>4</v>
      </c>
      <c r="D195" s="19">
        <f t="shared" si="7"/>
        <v>43564</v>
      </c>
      <c r="E195" s="16">
        <v>228</v>
      </c>
    </row>
    <row r="196" spans="1:5" x14ac:dyDescent="0.2">
      <c r="A196">
        <v>2019</v>
      </c>
      <c r="B196">
        <v>14</v>
      </c>
      <c r="C196">
        <f t="shared" si="6"/>
        <v>4</v>
      </c>
      <c r="D196" s="19">
        <f t="shared" si="7"/>
        <v>43557</v>
      </c>
      <c r="E196" s="16">
        <v>186</v>
      </c>
    </row>
    <row r="197" spans="1:5" x14ac:dyDescent="0.2">
      <c r="A197">
        <v>2019</v>
      </c>
      <c r="B197">
        <v>13</v>
      </c>
      <c r="C197">
        <f t="shared" si="6"/>
        <v>3</v>
      </c>
      <c r="D197" s="19">
        <f t="shared" si="7"/>
        <v>43550</v>
      </c>
      <c r="E197" s="16">
        <v>193</v>
      </c>
    </row>
    <row r="198" spans="1:5" x14ac:dyDescent="0.2">
      <c r="A198">
        <v>2019</v>
      </c>
      <c r="B198">
        <v>12</v>
      </c>
      <c r="C198">
        <f t="shared" si="6"/>
        <v>3</v>
      </c>
      <c r="D198" s="19">
        <f t="shared" si="7"/>
        <v>43543</v>
      </c>
      <c r="E198" s="16">
        <v>218</v>
      </c>
    </row>
    <row r="199" spans="1:5" x14ac:dyDescent="0.2">
      <c r="A199">
        <v>2019</v>
      </c>
      <c r="B199">
        <v>11</v>
      </c>
      <c r="C199">
        <f t="shared" si="6"/>
        <v>3</v>
      </c>
      <c r="D199" s="19">
        <f t="shared" si="7"/>
        <v>43536</v>
      </c>
      <c r="E199" s="16">
        <v>228</v>
      </c>
    </row>
    <row r="200" spans="1:5" x14ac:dyDescent="0.2">
      <c r="A200">
        <v>2019</v>
      </c>
      <c r="B200">
        <v>10</v>
      </c>
      <c r="C200">
        <f t="shared" si="6"/>
        <v>3</v>
      </c>
      <c r="D200" s="19">
        <f t="shared" si="7"/>
        <v>43529</v>
      </c>
      <c r="E200" s="16">
        <v>265</v>
      </c>
    </row>
    <row r="201" spans="1:5" x14ac:dyDescent="0.2">
      <c r="A201">
        <v>2019</v>
      </c>
      <c r="B201">
        <v>9</v>
      </c>
      <c r="C201">
        <f t="shared" si="6"/>
        <v>2</v>
      </c>
      <c r="D201" s="19">
        <f t="shared" si="7"/>
        <v>43522</v>
      </c>
      <c r="E201" s="16">
        <v>232</v>
      </c>
    </row>
    <row r="202" spans="1:5" x14ac:dyDescent="0.2">
      <c r="A202">
        <v>2019</v>
      </c>
      <c r="B202">
        <v>8</v>
      </c>
      <c r="C202">
        <f t="shared" si="6"/>
        <v>2</v>
      </c>
      <c r="D202" s="19">
        <f t="shared" si="7"/>
        <v>43515</v>
      </c>
      <c r="E202" s="16">
        <v>255</v>
      </c>
    </row>
    <row r="203" spans="1:5" x14ac:dyDescent="0.2">
      <c r="A203">
        <v>2019</v>
      </c>
      <c r="B203">
        <v>7</v>
      </c>
      <c r="C203">
        <f t="shared" si="6"/>
        <v>2</v>
      </c>
      <c r="D203" s="19">
        <f t="shared" si="7"/>
        <v>43508</v>
      </c>
      <c r="E203" s="16">
        <v>272</v>
      </c>
    </row>
    <row r="204" spans="1:5" x14ac:dyDescent="0.2">
      <c r="A204">
        <v>2019</v>
      </c>
      <c r="B204">
        <v>6</v>
      </c>
      <c r="C204">
        <f t="shared" si="6"/>
        <v>2</v>
      </c>
      <c r="D204" s="19">
        <f t="shared" si="7"/>
        <v>43501</v>
      </c>
      <c r="E204" s="16">
        <v>215</v>
      </c>
    </row>
    <row r="205" spans="1:5" x14ac:dyDescent="0.2">
      <c r="A205">
        <v>2019</v>
      </c>
      <c r="B205">
        <v>5</v>
      </c>
      <c r="C205">
        <f t="shared" si="6"/>
        <v>1</v>
      </c>
      <c r="D205" s="19">
        <f t="shared" si="7"/>
        <v>43494</v>
      </c>
      <c r="E205" s="16">
        <v>255</v>
      </c>
    </row>
    <row r="206" spans="1:5" x14ac:dyDescent="0.2">
      <c r="A206">
        <v>2019</v>
      </c>
      <c r="B206">
        <v>4</v>
      </c>
      <c r="C206">
        <f t="shared" si="6"/>
        <v>1</v>
      </c>
      <c r="D206" s="19">
        <f t="shared" si="7"/>
        <v>43487</v>
      </c>
      <c r="E206" s="16">
        <v>284</v>
      </c>
    </row>
    <row r="207" spans="1:5" x14ac:dyDescent="0.2">
      <c r="A207">
        <v>2019</v>
      </c>
      <c r="B207">
        <v>3</v>
      </c>
      <c r="C207">
        <f t="shared" si="6"/>
        <v>1</v>
      </c>
      <c r="D207" s="19">
        <f t="shared" si="7"/>
        <v>43480</v>
      </c>
      <c r="E207" s="16">
        <v>276</v>
      </c>
    </row>
    <row r="208" spans="1:5" x14ac:dyDescent="0.2">
      <c r="A208">
        <v>2019</v>
      </c>
      <c r="B208">
        <v>2</v>
      </c>
      <c r="C208">
        <f t="shared" si="6"/>
        <v>1</v>
      </c>
      <c r="D208" s="19">
        <f t="shared" si="7"/>
        <v>43473</v>
      </c>
      <c r="E208" s="16">
        <v>292</v>
      </c>
    </row>
    <row r="209" spans="1:5" x14ac:dyDescent="0.2">
      <c r="A209">
        <v>2019</v>
      </c>
      <c r="B209">
        <v>1</v>
      </c>
      <c r="C209">
        <f t="shared" si="6"/>
        <v>1</v>
      </c>
      <c r="D209" s="19">
        <f t="shared" si="7"/>
        <v>43466</v>
      </c>
      <c r="E209" s="16">
        <v>216</v>
      </c>
    </row>
    <row r="210" spans="1:5" x14ac:dyDescent="0.2">
      <c r="A210">
        <v>2018</v>
      </c>
      <c r="B210">
        <v>52</v>
      </c>
      <c r="C210">
        <f t="shared" si="6"/>
        <v>12</v>
      </c>
      <c r="D210" s="19">
        <f t="shared" si="7"/>
        <v>43458</v>
      </c>
      <c r="E210" s="16">
        <v>225</v>
      </c>
    </row>
    <row r="211" spans="1:5" x14ac:dyDescent="0.2">
      <c r="A211">
        <v>2018</v>
      </c>
      <c r="B211">
        <v>51</v>
      </c>
      <c r="C211">
        <f t="shared" si="6"/>
        <v>12</v>
      </c>
      <c r="D211" s="19">
        <f t="shared" si="7"/>
        <v>43451</v>
      </c>
      <c r="E211" s="16">
        <v>212</v>
      </c>
    </row>
    <row r="212" spans="1:5" x14ac:dyDescent="0.2">
      <c r="A212">
        <v>2018</v>
      </c>
      <c r="B212">
        <v>50</v>
      </c>
      <c r="C212">
        <f t="shared" si="6"/>
        <v>12</v>
      </c>
      <c r="D212" s="19">
        <f t="shared" si="7"/>
        <v>43444</v>
      </c>
      <c r="E212" s="16">
        <v>192</v>
      </c>
    </row>
    <row r="213" spans="1:5" x14ac:dyDescent="0.2">
      <c r="A213">
        <v>2018</v>
      </c>
      <c r="B213">
        <v>49</v>
      </c>
      <c r="C213">
        <f t="shared" si="6"/>
        <v>12</v>
      </c>
      <c r="D213" s="19">
        <f t="shared" si="7"/>
        <v>43437</v>
      </c>
      <c r="E213" s="16">
        <v>231</v>
      </c>
    </row>
    <row r="214" spans="1:5" x14ac:dyDescent="0.2">
      <c r="A214">
        <v>2018</v>
      </c>
      <c r="B214">
        <v>48</v>
      </c>
      <c r="C214">
        <f t="shared" si="6"/>
        <v>11</v>
      </c>
      <c r="D214" s="19">
        <f t="shared" si="7"/>
        <v>43430</v>
      </c>
      <c r="E214" s="16">
        <v>176</v>
      </c>
    </row>
    <row r="215" spans="1:5" x14ac:dyDescent="0.2">
      <c r="A215">
        <v>2018</v>
      </c>
      <c r="B215">
        <v>47</v>
      </c>
      <c r="C215">
        <f t="shared" si="6"/>
        <v>11</v>
      </c>
      <c r="D215" s="19">
        <f t="shared" si="7"/>
        <v>43423</v>
      </c>
      <c r="E215" s="16">
        <v>134</v>
      </c>
    </row>
    <row r="216" spans="1:5" x14ac:dyDescent="0.2">
      <c r="A216">
        <v>2018</v>
      </c>
      <c r="B216">
        <v>46</v>
      </c>
      <c r="C216">
        <f t="shared" si="6"/>
        <v>11</v>
      </c>
      <c r="D216" s="19">
        <f t="shared" si="7"/>
        <v>43416</v>
      </c>
      <c r="E216" s="16">
        <v>143</v>
      </c>
    </row>
    <row r="217" spans="1:5" x14ac:dyDescent="0.2">
      <c r="A217">
        <v>2018</v>
      </c>
      <c r="B217">
        <v>45</v>
      </c>
      <c r="C217">
        <f t="shared" si="6"/>
        <v>11</v>
      </c>
      <c r="D217" s="19">
        <f t="shared" si="7"/>
        <v>43409</v>
      </c>
      <c r="E217" s="16">
        <v>138</v>
      </c>
    </row>
    <row r="218" spans="1:5" x14ac:dyDescent="0.2">
      <c r="A218">
        <v>2018</v>
      </c>
      <c r="B218">
        <v>44</v>
      </c>
      <c r="C218">
        <f t="shared" si="6"/>
        <v>10</v>
      </c>
      <c r="D218" s="19">
        <f t="shared" si="7"/>
        <v>43402</v>
      </c>
      <c r="E218" s="16">
        <v>153</v>
      </c>
    </row>
    <row r="219" spans="1:5" x14ac:dyDescent="0.2">
      <c r="A219">
        <v>2018</v>
      </c>
      <c r="B219">
        <v>43</v>
      </c>
      <c r="C219">
        <f t="shared" si="6"/>
        <v>10</v>
      </c>
      <c r="D219" s="19">
        <f t="shared" si="7"/>
        <v>43395</v>
      </c>
      <c r="E219" s="16"/>
    </row>
    <row r="220" spans="1:5" x14ac:dyDescent="0.2">
      <c r="A220">
        <v>2018</v>
      </c>
      <c r="B220">
        <v>42</v>
      </c>
      <c r="C220">
        <f t="shared" si="6"/>
        <v>10</v>
      </c>
      <c r="D220" s="19">
        <f t="shared" si="7"/>
        <v>43388</v>
      </c>
      <c r="E220" s="16"/>
    </row>
    <row r="221" spans="1:5" x14ac:dyDescent="0.2">
      <c r="A221">
        <v>2018</v>
      </c>
      <c r="B221">
        <v>41</v>
      </c>
      <c r="C221">
        <f t="shared" si="6"/>
        <v>10</v>
      </c>
      <c r="D221" s="19">
        <f t="shared" si="7"/>
        <v>43381</v>
      </c>
      <c r="E221" s="16"/>
    </row>
    <row r="222" spans="1:5" x14ac:dyDescent="0.2">
      <c r="A222">
        <v>2018</v>
      </c>
      <c r="B222">
        <v>40</v>
      </c>
      <c r="C222">
        <f t="shared" si="6"/>
        <v>10</v>
      </c>
      <c r="D222" s="19">
        <f t="shared" si="7"/>
        <v>43374</v>
      </c>
      <c r="E222" s="16">
        <v>162</v>
      </c>
    </row>
    <row r="223" spans="1:5" x14ac:dyDescent="0.2">
      <c r="A223">
        <v>2018</v>
      </c>
      <c r="B223">
        <v>39</v>
      </c>
      <c r="C223">
        <f t="shared" si="6"/>
        <v>9</v>
      </c>
      <c r="D223" s="19">
        <f t="shared" si="7"/>
        <v>43367</v>
      </c>
      <c r="E223" s="16">
        <v>148</v>
      </c>
    </row>
    <row r="224" spans="1:5" x14ac:dyDescent="0.2">
      <c r="A224">
        <v>2018</v>
      </c>
      <c r="B224">
        <v>38</v>
      </c>
      <c r="C224">
        <f t="shared" si="6"/>
        <v>9</v>
      </c>
      <c r="D224" s="19">
        <f t="shared" si="7"/>
        <v>43360</v>
      </c>
      <c r="E224" s="16">
        <v>143</v>
      </c>
    </row>
    <row r="225" spans="1:5" x14ac:dyDescent="0.2">
      <c r="A225">
        <v>2018</v>
      </c>
      <c r="B225">
        <v>37</v>
      </c>
      <c r="C225">
        <f t="shared" si="6"/>
        <v>9</v>
      </c>
      <c r="D225" s="19">
        <f t="shared" si="7"/>
        <v>43353</v>
      </c>
      <c r="E225" s="16">
        <v>161</v>
      </c>
    </row>
    <row r="226" spans="1:5" x14ac:dyDescent="0.2">
      <c r="A226">
        <v>2018</v>
      </c>
      <c r="B226">
        <v>36</v>
      </c>
      <c r="C226">
        <f t="shared" si="6"/>
        <v>9</v>
      </c>
      <c r="D226" s="19">
        <f t="shared" si="7"/>
        <v>43346</v>
      </c>
      <c r="E226" s="16">
        <v>202</v>
      </c>
    </row>
    <row r="227" spans="1:5" x14ac:dyDescent="0.2">
      <c r="A227">
        <v>2018</v>
      </c>
      <c r="B227">
        <v>35</v>
      </c>
      <c r="C227">
        <f t="shared" si="6"/>
        <v>8</v>
      </c>
      <c r="D227" s="19">
        <f t="shared" si="7"/>
        <v>43339</v>
      </c>
      <c r="E227" s="16">
        <v>148</v>
      </c>
    </row>
    <row r="228" spans="1:5" x14ac:dyDescent="0.2">
      <c r="A228">
        <v>2018</v>
      </c>
      <c r="B228">
        <v>34</v>
      </c>
      <c r="C228">
        <f t="shared" si="6"/>
        <v>8</v>
      </c>
      <c r="D228" s="19">
        <f t="shared" si="7"/>
        <v>43332</v>
      </c>
      <c r="E228" s="16">
        <v>184</v>
      </c>
    </row>
    <row r="229" spans="1:5" x14ac:dyDescent="0.2">
      <c r="A229">
        <v>2018</v>
      </c>
      <c r="B229">
        <v>33</v>
      </c>
      <c r="C229">
        <f t="shared" si="6"/>
        <v>8</v>
      </c>
      <c r="D229" s="19">
        <f t="shared" si="7"/>
        <v>43325</v>
      </c>
      <c r="E229" s="16">
        <v>238</v>
      </c>
    </row>
    <row r="230" spans="1:5" x14ac:dyDescent="0.2">
      <c r="A230">
        <v>2018</v>
      </c>
      <c r="B230">
        <v>32</v>
      </c>
      <c r="C230">
        <f t="shared" si="6"/>
        <v>8</v>
      </c>
      <c r="D230" s="19">
        <f t="shared" si="7"/>
        <v>43318</v>
      </c>
      <c r="E230" s="16">
        <v>209</v>
      </c>
    </row>
    <row r="231" spans="1:5" x14ac:dyDescent="0.2">
      <c r="A231">
        <v>2018</v>
      </c>
      <c r="B231">
        <v>31</v>
      </c>
      <c r="C231">
        <f t="shared" si="6"/>
        <v>7</v>
      </c>
      <c r="D231" s="19">
        <f t="shared" si="7"/>
        <v>43311</v>
      </c>
      <c r="E231" s="16">
        <v>260</v>
      </c>
    </row>
    <row r="232" spans="1:5" x14ac:dyDescent="0.2">
      <c r="A232">
        <v>2018</v>
      </c>
      <c r="B232">
        <v>30</v>
      </c>
      <c r="C232">
        <f t="shared" si="6"/>
        <v>7</v>
      </c>
      <c r="D232" s="19">
        <f t="shared" si="7"/>
        <v>43304</v>
      </c>
      <c r="E232" s="16">
        <v>210</v>
      </c>
    </row>
    <row r="233" spans="1:5" x14ac:dyDescent="0.2">
      <c r="A233">
        <v>2018</v>
      </c>
      <c r="B233">
        <v>29</v>
      </c>
      <c r="C233">
        <f t="shared" si="6"/>
        <v>7</v>
      </c>
      <c r="D233" s="19">
        <f t="shared" si="7"/>
        <v>43297</v>
      </c>
      <c r="E233" s="16"/>
    </row>
    <row r="234" spans="1:5" x14ac:dyDescent="0.2">
      <c r="A234">
        <v>2018</v>
      </c>
      <c r="B234">
        <v>28</v>
      </c>
      <c r="C234">
        <f t="shared" si="6"/>
        <v>7</v>
      </c>
      <c r="D234" s="19">
        <f t="shared" si="7"/>
        <v>43290</v>
      </c>
      <c r="E234" s="16">
        <v>224</v>
      </c>
    </row>
    <row r="235" spans="1:5" x14ac:dyDescent="0.2">
      <c r="A235">
        <v>2018</v>
      </c>
      <c r="B235">
        <v>27</v>
      </c>
      <c r="C235">
        <f t="shared" si="6"/>
        <v>7</v>
      </c>
      <c r="D235" s="19">
        <f t="shared" si="7"/>
        <v>43283</v>
      </c>
      <c r="E235" s="16">
        <v>207</v>
      </c>
    </row>
    <row r="236" spans="1:5" x14ac:dyDescent="0.2">
      <c r="A236">
        <v>2018</v>
      </c>
      <c r="B236">
        <v>26</v>
      </c>
      <c r="C236">
        <f t="shared" si="6"/>
        <v>6</v>
      </c>
      <c r="D236" s="19">
        <f t="shared" si="7"/>
        <v>43276</v>
      </c>
      <c r="E236" s="16">
        <v>209</v>
      </c>
    </row>
    <row r="237" spans="1:5" x14ac:dyDescent="0.2">
      <c r="A237">
        <v>2018</v>
      </c>
      <c r="B237">
        <v>25</v>
      </c>
      <c r="C237">
        <f t="shared" si="6"/>
        <v>6</v>
      </c>
      <c r="D237" s="19">
        <f t="shared" si="7"/>
        <v>43269</v>
      </c>
      <c r="E237" s="16">
        <v>202</v>
      </c>
    </row>
    <row r="238" spans="1:5" x14ac:dyDescent="0.2">
      <c r="A238">
        <v>2018</v>
      </c>
      <c r="B238">
        <v>24</v>
      </c>
      <c r="C238">
        <f t="shared" si="6"/>
        <v>6</v>
      </c>
      <c r="D238" s="19">
        <f t="shared" si="7"/>
        <v>43262</v>
      </c>
      <c r="E238" s="16">
        <v>170</v>
      </c>
    </row>
    <row r="239" spans="1:5" x14ac:dyDescent="0.2">
      <c r="A239">
        <v>2018</v>
      </c>
      <c r="B239">
        <v>23</v>
      </c>
      <c r="C239">
        <f t="shared" si="6"/>
        <v>6</v>
      </c>
      <c r="D239" s="19">
        <f t="shared" si="7"/>
        <v>43255</v>
      </c>
      <c r="E239" s="16">
        <v>188</v>
      </c>
    </row>
    <row r="240" spans="1:5" x14ac:dyDescent="0.2">
      <c r="A240">
        <v>2018</v>
      </c>
      <c r="B240">
        <v>22</v>
      </c>
      <c r="C240">
        <f t="shared" si="6"/>
        <v>5</v>
      </c>
      <c r="D240" s="19">
        <f t="shared" si="7"/>
        <v>43248</v>
      </c>
      <c r="E240" s="16">
        <v>142</v>
      </c>
    </row>
    <row r="241" spans="1:5" x14ac:dyDescent="0.2">
      <c r="A241">
        <v>2018</v>
      </c>
      <c r="B241">
        <v>21</v>
      </c>
      <c r="C241">
        <f t="shared" si="6"/>
        <v>5</v>
      </c>
      <c r="D241" s="19">
        <f t="shared" si="7"/>
        <v>43241</v>
      </c>
      <c r="E241" s="16">
        <v>184</v>
      </c>
    </row>
    <row r="242" spans="1:5" x14ac:dyDescent="0.2">
      <c r="A242">
        <v>2018</v>
      </c>
      <c r="B242">
        <v>20</v>
      </c>
      <c r="C242">
        <f t="shared" si="6"/>
        <v>5</v>
      </c>
      <c r="D242" s="19">
        <f t="shared" si="7"/>
        <v>43234</v>
      </c>
      <c r="E242" s="16">
        <v>143</v>
      </c>
    </row>
    <row r="243" spans="1:5" x14ac:dyDescent="0.2">
      <c r="A243">
        <v>2018</v>
      </c>
      <c r="B243">
        <v>19</v>
      </c>
      <c r="C243">
        <f t="shared" si="6"/>
        <v>5</v>
      </c>
      <c r="D243" s="19">
        <f t="shared" si="7"/>
        <v>43227</v>
      </c>
      <c r="E243" s="16">
        <v>61</v>
      </c>
    </row>
    <row r="244" spans="1:5" x14ac:dyDescent="0.2">
      <c r="A244">
        <v>2018</v>
      </c>
      <c r="B244">
        <v>18</v>
      </c>
      <c r="C244">
        <f t="shared" si="6"/>
        <v>4</v>
      </c>
      <c r="D244" s="19">
        <f t="shared" si="7"/>
        <v>43220</v>
      </c>
      <c r="E244" s="16">
        <v>93</v>
      </c>
    </row>
    <row r="245" spans="1:5" x14ac:dyDescent="0.2">
      <c r="A245">
        <v>2018</v>
      </c>
      <c r="B245">
        <v>17</v>
      </c>
      <c r="C245">
        <f t="shared" si="6"/>
        <v>4</v>
      </c>
      <c r="D245" s="19">
        <f t="shared" si="7"/>
        <v>43213</v>
      </c>
      <c r="E245" s="16">
        <v>119</v>
      </c>
    </row>
    <row r="246" spans="1:5" x14ac:dyDescent="0.2">
      <c r="A246">
        <v>2018</v>
      </c>
      <c r="B246">
        <v>16</v>
      </c>
      <c r="C246">
        <f t="shared" si="6"/>
        <v>4</v>
      </c>
      <c r="D246" s="19">
        <f t="shared" si="7"/>
        <v>43206</v>
      </c>
      <c r="E246" s="16">
        <v>100</v>
      </c>
    </row>
    <row r="247" spans="1:5" x14ac:dyDescent="0.2">
      <c r="A247">
        <v>2018</v>
      </c>
      <c r="B247">
        <v>15</v>
      </c>
      <c r="C247">
        <f t="shared" si="6"/>
        <v>4</v>
      </c>
      <c r="D247" s="19">
        <f t="shared" si="7"/>
        <v>43199</v>
      </c>
      <c r="E247" s="16">
        <v>77</v>
      </c>
    </row>
    <row r="248" spans="1:5" x14ac:dyDescent="0.2">
      <c r="A248">
        <v>2018</v>
      </c>
      <c r="B248">
        <v>14</v>
      </c>
      <c r="C248">
        <f t="shared" si="6"/>
        <v>4</v>
      </c>
      <c r="D248" s="19">
        <f t="shared" si="7"/>
        <v>43192</v>
      </c>
      <c r="E248" s="16">
        <v>74</v>
      </c>
    </row>
    <row r="249" spans="1:5" x14ac:dyDescent="0.2">
      <c r="A249">
        <v>2018</v>
      </c>
      <c r="B249">
        <v>13</v>
      </c>
      <c r="C249">
        <f t="shared" si="6"/>
        <v>3</v>
      </c>
      <c r="D249" s="19">
        <f t="shared" si="7"/>
        <v>43185</v>
      </c>
      <c r="E249" s="16">
        <v>94</v>
      </c>
    </row>
    <row r="250" spans="1:5" x14ac:dyDescent="0.2">
      <c r="A250">
        <v>2018</v>
      </c>
      <c r="B250">
        <v>12</v>
      </c>
      <c r="C250">
        <f t="shared" si="6"/>
        <v>3</v>
      </c>
      <c r="D250" s="19">
        <f t="shared" si="7"/>
        <v>43178</v>
      </c>
      <c r="E250" s="16">
        <v>71</v>
      </c>
    </row>
    <row r="251" spans="1:5" x14ac:dyDescent="0.2">
      <c r="A251">
        <v>2018</v>
      </c>
      <c r="B251">
        <v>11</v>
      </c>
      <c r="C251">
        <f t="shared" si="6"/>
        <v>3</v>
      </c>
      <c r="D251" s="19">
        <f t="shared" si="7"/>
        <v>43171</v>
      </c>
      <c r="E251" s="16">
        <v>84</v>
      </c>
    </row>
    <row r="252" spans="1:5" x14ac:dyDescent="0.2">
      <c r="A252">
        <v>2018</v>
      </c>
      <c r="B252">
        <v>10</v>
      </c>
      <c r="C252">
        <f t="shared" si="6"/>
        <v>3</v>
      </c>
      <c r="D252" s="19">
        <f t="shared" si="7"/>
        <v>43164</v>
      </c>
      <c r="E252" s="16">
        <v>70</v>
      </c>
    </row>
    <row r="253" spans="1:5" x14ac:dyDescent="0.2">
      <c r="A253">
        <v>2018</v>
      </c>
      <c r="B253">
        <v>9</v>
      </c>
      <c r="C253">
        <f t="shared" si="6"/>
        <v>2</v>
      </c>
      <c r="D253" s="19">
        <f t="shared" si="7"/>
        <v>43157</v>
      </c>
      <c r="E253" s="16">
        <v>77</v>
      </c>
    </row>
    <row r="254" spans="1:5" x14ac:dyDescent="0.2">
      <c r="A254">
        <v>2018</v>
      </c>
      <c r="B254">
        <v>8</v>
      </c>
      <c r="C254">
        <f t="shared" si="6"/>
        <v>2</v>
      </c>
      <c r="D254" s="19">
        <f t="shared" si="7"/>
        <v>43150</v>
      </c>
      <c r="E254" s="16">
        <v>67</v>
      </c>
    </row>
    <row r="255" spans="1:5" x14ac:dyDescent="0.2">
      <c r="A255">
        <v>2018</v>
      </c>
      <c r="B255">
        <v>7</v>
      </c>
      <c r="C255">
        <f t="shared" si="6"/>
        <v>2</v>
      </c>
      <c r="D255" s="19">
        <f t="shared" si="7"/>
        <v>43143</v>
      </c>
      <c r="E255" s="16">
        <v>66</v>
      </c>
    </row>
    <row r="256" spans="1:5" x14ac:dyDescent="0.2">
      <c r="A256">
        <v>2018</v>
      </c>
      <c r="B256">
        <v>6</v>
      </c>
      <c r="C256">
        <f t="shared" si="6"/>
        <v>2</v>
      </c>
      <c r="D256" s="19">
        <f t="shared" si="7"/>
        <v>43136</v>
      </c>
      <c r="E256" s="16"/>
    </row>
    <row r="257" spans="1:5" x14ac:dyDescent="0.2">
      <c r="A257">
        <v>2018</v>
      </c>
      <c r="B257">
        <v>5</v>
      </c>
      <c r="C257">
        <f t="shared" si="6"/>
        <v>1</v>
      </c>
      <c r="D257" s="19">
        <f t="shared" si="7"/>
        <v>43129</v>
      </c>
      <c r="E257" s="16">
        <v>55</v>
      </c>
    </row>
    <row r="258" spans="1:5" x14ac:dyDescent="0.2">
      <c r="A258">
        <v>2018</v>
      </c>
      <c r="B258">
        <v>4</v>
      </c>
      <c r="C258">
        <f t="shared" ref="C258:C313" si="8">MONTH(D258)</f>
        <v>1</v>
      </c>
      <c r="D258" s="19">
        <f t="shared" ref="D258:D313" si="9">DATE(YEAR(DATE(A258,1,1)),1,1)+7*(B258-1)</f>
        <v>43122</v>
      </c>
      <c r="E258" s="16">
        <v>85</v>
      </c>
    </row>
    <row r="259" spans="1:5" x14ac:dyDescent="0.2">
      <c r="A259">
        <v>2018</v>
      </c>
      <c r="B259">
        <v>3</v>
      </c>
      <c r="C259">
        <f t="shared" si="8"/>
        <v>1</v>
      </c>
      <c r="D259" s="19">
        <f t="shared" si="9"/>
        <v>43115</v>
      </c>
      <c r="E259" s="16">
        <v>97</v>
      </c>
    </row>
    <row r="260" spans="1:5" x14ac:dyDescent="0.2">
      <c r="A260">
        <v>2018</v>
      </c>
      <c r="B260">
        <v>2</v>
      </c>
      <c r="C260">
        <f t="shared" si="8"/>
        <v>1</v>
      </c>
      <c r="D260" s="19">
        <f t="shared" si="9"/>
        <v>43108</v>
      </c>
      <c r="E260" s="16">
        <v>106</v>
      </c>
    </row>
    <row r="261" spans="1:5" x14ac:dyDescent="0.2">
      <c r="A261">
        <v>2018</v>
      </c>
      <c r="B261">
        <v>1</v>
      </c>
      <c r="C261">
        <f t="shared" si="8"/>
        <v>1</v>
      </c>
      <c r="D261" s="19">
        <f t="shared" si="9"/>
        <v>43101</v>
      </c>
      <c r="E261" s="16">
        <v>78</v>
      </c>
    </row>
    <row r="262" spans="1:5" x14ac:dyDescent="0.2">
      <c r="A262">
        <v>2017</v>
      </c>
      <c r="B262">
        <v>52</v>
      </c>
      <c r="C262">
        <f t="shared" si="8"/>
        <v>12</v>
      </c>
      <c r="D262" s="19">
        <f t="shared" si="9"/>
        <v>43093</v>
      </c>
      <c r="E262" s="16">
        <v>82</v>
      </c>
    </row>
    <row r="263" spans="1:5" x14ac:dyDescent="0.2">
      <c r="A263">
        <v>2017</v>
      </c>
      <c r="B263">
        <v>51</v>
      </c>
      <c r="C263">
        <f t="shared" si="8"/>
        <v>12</v>
      </c>
      <c r="D263" s="19">
        <f t="shared" si="9"/>
        <v>43086</v>
      </c>
      <c r="E263" s="16">
        <v>88</v>
      </c>
    </row>
    <row r="264" spans="1:5" x14ac:dyDescent="0.2">
      <c r="A264">
        <v>2017</v>
      </c>
      <c r="B264">
        <v>50</v>
      </c>
      <c r="C264">
        <f t="shared" si="8"/>
        <v>12</v>
      </c>
      <c r="D264" s="19">
        <f t="shared" si="9"/>
        <v>43079</v>
      </c>
      <c r="E264" s="16">
        <v>91</v>
      </c>
    </row>
    <row r="265" spans="1:5" x14ac:dyDescent="0.2">
      <c r="A265">
        <v>2017</v>
      </c>
      <c r="B265">
        <v>49</v>
      </c>
      <c r="C265">
        <f t="shared" si="8"/>
        <v>12</v>
      </c>
      <c r="D265" s="19">
        <f t="shared" si="9"/>
        <v>43072</v>
      </c>
      <c r="E265" s="16">
        <v>81</v>
      </c>
    </row>
    <row r="266" spans="1:5" x14ac:dyDescent="0.2">
      <c r="A266">
        <v>2017</v>
      </c>
      <c r="B266">
        <v>48</v>
      </c>
      <c r="C266">
        <f t="shared" si="8"/>
        <v>11</v>
      </c>
      <c r="D266" s="19">
        <f t="shared" si="9"/>
        <v>43065</v>
      </c>
      <c r="E266" s="16">
        <v>70</v>
      </c>
    </row>
    <row r="267" spans="1:5" x14ac:dyDescent="0.2">
      <c r="A267">
        <v>2017</v>
      </c>
      <c r="B267">
        <v>47</v>
      </c>
      <c r="C267">
        <f t="shared" si="8"/>
        <v>11</v>
      </c>
      <c r="D267" s="19">
        <f t="shared" si="9"/>
        <v>43058</v>
      </c>
      <c r="E267" s="16">
        <v>96</v>
      </c>
    </row>
    <row r="268" spans="1:5" x14ac:dyDescent="0.2">
      <c r="A268">
        <v>2017</v>
      </c>
      <c r="B268">
        <v>46</v>
      </c>
      <c r="C268">
        <f t="shared" si="8"/>
        <v>11</v>
      </c>
      <c r="D268" s="19">
        <f t="shared" si="9"/>
        <v>43051</v>
      </c>
      <c r="E268" s="16">
        <v>71</v>
      </c>
    </row>
    <row r="269" spans="1:5" x14ac:dyDescent="0.2">
      <c r="A269">
        <v>2017</v>
      </c>
      <c r="B269">
        <v>45</v>
      </c>
      <c r="C269">
        <f t="shared" si="8"/>
        <v>11</v>
      </c>
      <c r="D269" s="19">
        <f t="shared" si="9"/>
        <v>43044</v>
      </c>
      <c r="E269" s="16">
        <v>98</v>
      </c>
    </row>
    <row r="270" spans="1:5" x14ac:dyDescent="0.2">
      <c r="A270">
        <v>2017</v>
      </c>
      <c r="B270">
        <v>44</v>
      </c>
      <c r="C270">
        <f t="shared" si="8"/>
        <v>10</v>
      </c>
      <c r="D270" s="19">
        <f t="shared" si="9"/>
        <v>43037</v>
      </c>
      <c r="E270" s="16">
        <v>99</v>
      </c>
    </row>
    <row r="271" spans="1:5" x14ac:dyDescent="0.2">
      <c r="A271">
        <v>2017</v>
      </c>
      <c r="B271">
        <v>43</v>
      </c>
      <c r="C271">
        <f t="shared" si="8"/>
        <v>10</v>
      </c>
      <c r="D271" s="19">
        <f t="shared" si="9"/>
        <v>43030</v>
      </c>
      <c r="E271" s="16">
        <v>100</v>
      </c>
    </row>
    <row r="272" spans="1:5" x14ac:dyDescent="0.2">
      <c r="A272">
        <v>2017</v>
      </c>
      <c r="B272">
        <v>42</v>
      </c>
      <c r="C272">
        <f t="shared" si="8"/>
        <v>10</v>
      </c>
      <c r="D272" s="19">
        <f t="shared" si="9"/>
        <v>43023</v>
      </c>
      <c r="E272" s="16">
        <v>88</v>
      </c>
    </row>
    <row r="273" spans="1:5" x14ac:dyDescent="0.2">
      <c r="A273">
        <v>2017</v>
      </c>
      <c r="B273">
        <v>41</v>
      </c>
      <c r="C273">
        <f t="shared" si="8"/>
        <v>10</v>
      </c>
      <c r="D273" s="19">
        <f t="shared" si="9"/>
        <v>43016</v>
      </c>
      <c r="E273" s="16">
        <v>107</v>
      </c>
    </row>
    <row r="274" spans="1:5" x14ac:dyDescent="0.2">
      <c r="A274">
        <v>2017</v>
      </c>
      <c r="B274">
        <v>40</v>
      </c>
      <c r="C274">
        <f t="shared" si="8"/>
        <v>10</v>
      </c>
      <c r="D274" s="19">
        <f t="shared" si="9"/>
        <v>43009</v>
      </c>
      <c r="E274" s="16">
        <v>123</v>
      </c>
    </row>
    <row r="275" spans="1:5" x14ac:dyDescent="0.2">
      <c r="A275">
        <v>2017</v>
      </c>
      <c r="B275">
        <v>39</v>
      </c>
      <c r="C275">
        <f t="shared" si="8"/>
        <v>9</v>
      </c>
      <c r="D275" s="19">
        <f t="shared" si="9"/>
        <v>43002</v>
      </c>
      <c r="E275" s="16">
        <v>108</v>
      </c>
    </row>
    <row r="276" spans="1:5" x14ac:dyDescent="0.2">
      <c r="A276">
        <v>2017</v>
      </c>
      <c r="B276">
        <v>38</v>
      </c>
      <c r="C276">
        <f t="shared" si="8"/>
        <v>9</v>
      </c>
      <c r="D276" s="19">
        <f t="shared" si="9"/>
        <v>42995</v>
      </c>
      <c r="E276" s="16">
        <v>87</v>
      </c>
    </row>
    <row r="277" spans="1:5" x14ac:dyDescent="0.2">
      <c r="A277">
        <v>2017</v>
      </c>
      <c r="B277">
        <v>37</v>
      </c>
      <c r="C277">
        <f t="shared" si="8"/>
        <v>9</v>
      </c>
      <c r="D277" s="19">
        <f t="shared" si="9"/>
        <v>42988</v>
      </c>
      <c r="E277" s="16">
        <v>117</v>
      </c>
    </row>
    <row r="278" spans="1:5" x14ac:dyDescent="0.2">
      <c r="A278">
        <v>2017</v>
      </c>
      <c r="B278">
        <v>36</v>
      </c>
      <c r="C278">
        <f t="shared" si="8"/>
        <v>9</v>
      </c>
      <c r="D278" s="19">
        <f t="shared" si="9"/>
        <v>42981</v>
      </c>
      <c r="E278" s="16">
        <v>101</v>
      </c>
    </row>
    <row r="279" spans="1:5" x14ac:dyDescent="0.2">
      <c r="A279">
        <v>2017</v>
      </c>
      <c r="B279">
        <v>35</v>
      </c>
      <c r="C279">
        <f t="shared" si="8"/>
        <v>8</v>
      </c>
      <c r="D279" s="19">
        <f t="shared" si="9"/>
        <v>42974</v>
      </c>
      <c r="E279" s="16">
        <v>119</v>
      </c>
    </row>
    <row r="280" spans="1:5" x14ac:dyDescent="0.2">
      <c r="A280">
        <v>2017</v>
      </c>
      <c r="B280">
        <v>34</v>
      </c>
      <c r="C280">
        <f t="shared" si="8"/>
        <v>8</v>
      </c>
      <c r="D280" s="19">
        <f t="shared" si="9"/>
        <v>42967</v>
      </c>
      <c r="E280" s="16">
        <v>154</v>
      </c>
    </row>
    <row r="281" spans="1:5" x14ac:dyDescent="0.2">
      <c r="A281">
        <v>2017</v>
      </c>
      <c r="B281">
        <v>33</v>
      </c>
      <c r="C281">
        <f t="shared" si="8"/>
        <v>8</v>
      </c>
      <c r="D281" s="19">
        <f t="shared" si="9"/>
        <v>42960</v>
      </c>
      <c r="E281" s="16">
        <v>147</v>
      </c>
    </row>
    <row r="282" spans="1:5" x14ac:dyDescent="0.2">
      <c r="A282">
        <v>2017</v>
      </c>
      <c r="B282">
        <v>32</v>
      </c>
      <c r="C282">
        <f t="shared" si="8"/>
        <v>8</v>
      </c>
      <c r="D282" s="19">
        <f t="shared" si="9"/>
        <v>42953</v>
      </c>
      <c r="E282" s="16">
        <v>158</v>
      </c>
    </row>
    <row r="283" spans="1:5" x14ac:dyDescent="0.2">
      <c r="A283">
        <v>2017</v>
      </c>
      <c r="B283">
        <v>31</v>
      </c>
      <c r="C283">
        <f t="shared" si="8"/>
        <v>7</v>
      </c>
      <c r="D283" s="19">
        <f t="shared" si="9"/>
        <v>42946</v>
      </c>
      <c r="E283" s="16">
        <v>210</v>
      </c>
    </row>
    <row r="284" spans="1:5" x14ac:dyDescent="0.2">
      <c r="A284">
        <v>2017</v>
      </c>
      <c r="B284">
        <v>30</v>
      </c>
      <c r="C284">
        <f t="shared" si="8"/>
        <v>7</v>
      </c>
      <c r="D284" s="19">
        <f t="shared" si="9"/>
        <v>42939</v>
      </c>
      <c r="E284" s="16">
        <v>216</v>
      </c>
    </row>
    <row r="285" spans="1:5" x14ac:dyDescent="0.2">
      <c r="A285">
        <v>2017</v>
      </c>
      <c r="B285">
        <v>29</v>
      </c>
      <c r="C285">
        <f t="shared" si="8"/>
        <v>7</v>
      </c>
      <c r="D285" s="19">
        <f t="shared" si="9"/>
        <v>42932</v>
      </c>
      <c r="E285" s="16">
        <v>249</v>
      </c>
    </row>
    <row r="286" spans="1:5" x14ac:dyDescent="0.2">
      <c r="A286">
        <v>2017</v>
      </c>
      <c r="B286">
        <v>28</v>
      </c>
      <c r="C286">
        <f t="shared" si="8"/>
        <v>7</v>
      </c>
      <c r="D286" s="19">
        <f t="shared" si="9"/>
        <v>42925</v>
      </c>
      <c r="E286" s="16">
        <v>206</v>
      </c>
    </row>
    <row r="287" spans="1:5" x14ac:dyDescent="0.2">
      <c r="A287">
        <v>2017</v>
      </c>
      <c r="B287">
        <v>27</v>
      </c>
      <c r="C287">
        <f t="shared" si="8"/>
        <v>7</v>
      </c>
      <c r="D287" s="19">
        <f t="shared" si="9"/>
        <v>42918</v>
      </c>
      <c r="E287" s="16">
        <v>234</v>
      </c>
    </row>
    <row r="288" spans="1:5" x14ac:dyDescent="0.2">
      <c r="A288">
        <v>2017</v>
      </c>
      <c r="B288">
        <v>26</v>
      </c>
      <c r="C288">
        <f t="shared" si="8"/>
        <v>6</v>
      </c>
      <c r="D288" s="19">
        <f t="shared" si="9"/>
        <v>42911</v>
      </c>
      <c r="E288" s="16">
        <v>151</v>
      </c>
    </row>
    <row r="289" spans="1:5" x14ac:dyDescent="0.2">
      <c r="A289">
        <v>2017</v>
      </c>
      <c r="B289">
        <v>25</v>
      </c>
      <c r="C289">
        <f t="shared" si="8"/>
        <v>6</v>
      </c>
      <c r="D289" s="19">
        <f t="shared" si="9"/>
        <v>42904</v>
      </c>
      <c r="E289" s="16">
        <v>273</v>
      </c>
    </row>
    <row r="290" spans="1:5" x14ac:dyDescent="0.2">
      <c r="A290">
        <v>2017</v>
      </c>
      <c r="B290">
        <v>24</v>
      </c>
      <c r="C290">
        <f t="shared" si="8"/>
        <v>6</v>
      </c>
      <c r="D290" s="19">
        <f t="shared" si="9"/>
        <v>42897</v>
      </c>
      <c r="E290" s="16">
        <v>266</v>
      </c>
    </row>
    <row r="291" spans="1:5" x14ac:dyDescent="0.2">
      <c r="A291">
        <v>2017</v>
      </c>
      <c r="B291">
        <v>23</v>
      </c>
      <c r="C291">
        <f t="shared" si="8"/>
        <v>6</v>
      </c>
      <c r="D291" s="19">
        <f t="shared" si="9"/>
        <v>42890</v>
      </c>
      <c r="E291" s="16"/>
    </row>
    <row r="292" spans="1:5" x14ac:dyDescent="0.2">
      <c r="A292">
        <v>2017</v>
      </c>
      <c r="B292">
        <v>22</v>
      </c>
      <c r="C292">
        <f t="shared" si="8"/>
        <v>5</v>
      </c>
      <c r="D292" s="19">
        <f t="shared" si="9"/>
        <v>42883</v>
      </c>
      <c r="E292" s="16"/>
    </row>
    <row r="293" spans="1:5" x14ac:dyDescent="0.2">
      <c r="A293">
        <v>2017</v>
      </c>
      <c r="B293">
        <v>21</v>
      </c>
      <c r="C293">
        <f t="shared" si="8"/>
        <v>5</v>
      </c>
      <c r="D293" s="19">
        <f t="shared" si="9"/>
        <v>42876</v>
      </c>
      <c r="E293" s="16">
        <v>249</v>
      </c>
    </row>
    <row r="294" spans="1:5" x14ac:dyDescent="0.2">
      <c r="A294">
        <v>2017</v>
      </c>
      <c r="B294">
        <v>20</v>
      </c>
      <c r="C294">
        <f t="shared" si="8"/>
        <v>5</v>
      </c>
      <c r="D294" s="19">
        <f t="shared" si="9"/>
        <v>42869</v>
      </c>
      <c r="E294" s="16">
        <v>199</v>
      </c>
    </row>
    <row r="295" spans="1:5" x14ac:dyDescent="0.2">
      <c r="A295">
        <v>2017</v>
      </c>
      <c r="B295">
        <v>19</v>
      </c>
      <c r="C295">
        <f t="shared" si="8"/>
        <v>5</v>
      </c>
      <c r="D295" s="19">
        <f t="shared" si="9"/>
        <v>42862</v>
      </c>
      <c r="E295" s="16">
        <v>229</v>
      </c>
    </row>
    <row r="296" spans="1:5" x14ac:dyDescent="0.2">
      <c r="A296">
        <v>2017</v>
      </c>
      <c r="B296">
        <v>18</v>
      </c>
      <c r="C296">
        <f t="shared" si="8"/>
        <v>4</v>
      </c>
      <c r="D296" s="19">
        <f t="shared" si="9"/>
        <v>42855</v>
      </c>
      <c r="E296" s="16">
        <v>185</v>
      </c>
    </row>
    <row r="297" spans="1:5" x14ac:dyDescent="0.2">
      <c r="A297">
        <v>2017</v>
      </c>
      <c r="B297">
        <v>17</v>
      </c>
      <c r="C297">
        <f t="shared" si="8"/>
        <v>4</v>
      </c>
      <c r="D297" s="19">
        <f t="shared" si="9"/>
        <v>42848</v>
      </c>
      <c r="E297" s="16">
        <v>241</v>
      </c>
    </row>
    <row r="298" spans="1:5" x14ac:dyDescent="0.2">
      <c r="A298">
        <v>2017</v>
      </c>
      <c r="B298">
        <v>16</v>
      </c>
      <c r="C298">
        <f t="shared" si="8"/>
        <v>4</v>
      </c>
      <c r="D298" s="19">
        <f t="shared" si="9"/>
        <v>42841</v>
      </c>
      <c r="E298" s="16">
        <v>225</v>
      </c>
    </row>
    <row r="299" spans="1:5" x14ac:dyDescent="0.2">
      <c r="A299">
        <v>2017</v>
      </c>
      <c r="B299">
        <v>15</v>
      </c>
      <c r="C299">
        <f t="shared" si="8"/>
        <v>4</v>
      </c>
      <c r="D299" s="19">
        <f t="shared" si="9"/>
        <v>42834</v>
      </c>
      <c r="E299" s="16"/>
    </row>
    <row r="300" spans="1:5" x14ac:dyDescent="0.2">
      <c r="A300">
        <v>2017</v>
      </c>
      <c r="B300">
        <v>14</v>
      </c>
      <c r="C300">
        <f t="shared" si="8"/>
        <v>4</v>
      </c>
      <c r="D300" s="19">
        <f t="shared" si="9"/>
        <v>42827</v>
      </c>
      <c r="E300" s="16">
        <v>190</v>
      </c>
    </row>
    <row r="301" spans="1:5" x14ac:dyDescent="0.2">
      <c r="A301">
        <v>2017</v>
      </c>
      <c r="B301">
        <v>13</v>
      </c>
      <c r="C301">
        <f t="shared" si="8"/>
        <v>3</v>
      </c>
      <c r="D301" s="19">
        <f t="shared" si="9"/>
        <v>42820</v>
      </c>
      <c r="E301" s="16">
        <v>171</v>
      </c>
    </row>
    <row r="302" spans="1:5" x14ac:dyDescent="0.2">
      <c r="A302">
        <v>2017</v>
      </c>
      <c r="B302">
        <v>12</v>
      </c>
      <c r="C302">
        <f t="shared" si="8"/>
        <v>3</v>
      </c>
      <c r="D302" s="19">
        <f t="shared" si="9"/>
        <v>42813</v>
      </c>
      <c r="E302" s="16">
        <v>233</v>
      </c>
    </row>
    <row r="303" spans="1:5" x14ac:dyDescent="0.2">
      <c r="A303">
        <v>2017</v>
      </c>
      <c r="B303">
        <v>11</v>
      </c>
      <c r="C303">
        <f t="shared" si="8"/>
        <v>3</v>
      </c>
      <c r="D303" s="19">
        <f t="shared" si="9"/>
        <v>42806</v>
      </c>
      <c r="E303" s="16">
        <v>197</v>
      </c>
    </row>
    <row r="304" spans="1:5" x14ac:dyDescent="0.2">
      <c r="A304">
        <v>2017</v>
      </c>
      <c r="B304">
        <v>10</v>
      </c>
      <c r="C304">
        <f t="shared" si="8"/>
        <v>3</v>
      </c>
      <c r="D304" s="19">
        <f t="shared" si="9"/>
        <v>42799</v>
      </c>
      <c r="E304" s="16">
        <v>181</v>
      </c>
    </row>
    <row r="305" spans="1:5" x14ac:dyDescent="0.2">
      <c r="A305">
        <v>2017</v>
      </c>
      <c r="B305">
        <v>9</v>
      </c>
      <c r="C305">
        <f t="shared" si="8"/>
        <v>2</v>
      </c>
      <c r="D305" s="19">
        <f t="shared" si="9"/>
        <v>42792</v>
      </c>
      <c r="E305" s="16">
        <v>144</v>
      </c>
    </row>
    <row r="306" spans="1:5" x14ac:dyDescent="0.2">
      <c r="A306">
        <v>2017</v>
      </c>
      <c r="B306">
        <v>8</v>
      </c>
      <c r="C306">
        <f t="shared" si="8"/>
        <v>2</v>
      </c>
      <c r="D306" s="19">
        <f t="shared" si="9"/>
        <v>42785</v>
      </c>
      <c r="E306" s="16">
        <v>169</v>
      </c>
    </row>
    <row r="307" spans="1:5" x14ac:dyDescent="0.2">
      <c r="A307">
        <v>2017</v>
      </c>
      <c r="B307">
        <v>7</v>
      </c>
      <c r="C307">
        <f t="shared" si="8"/>
        <v>2</v>
      </c>
      <c r="D307" s="19">
        <f t="shared" si="9"/>
        <v>42778</v>
      </c>
      <c r="E307" s="16">
        <v>148</v>
      </c>
    </row>
    <row r="308" spans="1:5" x14ac:dyDescent="0.2">
      <c r="A308">
        <v>2017</v>
      </c>
      <c r="B308">
        <v>6</v>
      </c>
      <c r="C308">
        <f t="shared" si="8"/>
        <v>2</v>
      </c>
      <c r="D308" s="19">
        <f t="shared" si="9"/>
        <v>42771</v>
      </c>
      <c r="E308" s="16">
        <v>134</v>
      </c>
    </row>
    <row r="309" spans="1:5" x14ac:dyDescent="0.2">
      <c r="A309">
        <v>2017</v>
      </c>
      <c r="B309">
        <v>5</v>
      </c>
      <c r="C309">
        <f t="shared" si="8"/>
        <v>1</v>
      </c>
      <c r="D309" s="19">
        <f t="shared" si="9"/>
        <v>42764</v>
      </c>
      <c r="E309" s="16">
        <v>134</v>
      </c>
    </row>
    <row r="310" spans="1:5" x14ac:dyDescent="0.2">
      <c r="A310">
        <v>2017</v>
      </c>
      <c r="B310">
        <v>4</v>
      </c>
      <c r="C310">
        <f t="shared" si="8"/>
        <v>1</v>
      </c>
      <c r="D310" s="19">
        <f t="shared" si="9"/>
        <v>42757</v>
      </c>
      <c r="E310" s="16">
        <v>151</v>
      </c>
    </row>
    <row r="311" spans="1:5" x14ac:dyDescent="0.2">
      <c r="A311">
        <v>2017</v>
      </c>
      <c r="B311">
        <v>3</v>
      </c>
      <c r="C311">
        <f t="shared" si="8"/>
        <v>1</v>
      </c>
      <c r="D311" s="19">
        <f t="shared" si="9"/>
        <v>42750</v>
      </c>
      <c r="E311" s="16">
        <v>143</v>
      </c>
    </row>
    <row r="312" spans="1:5" x14ac:dyDescent="0.2">
      <c r="A312">
        <v>2017</v>
      </c>
      <c r="B312">
        <v>2</v>
      </c>
      <c r="C312">
        <f t="shared" si="8"/>
        <v>1</v>
      </c>
      <c r="D312" s="19">
        <f t="shared" si="9"/>
        <v>42743</v>
      </c>
      <c r="E312" s="16">
        <v>146</v>
      </c>
    </row>
    <row r="313" spans="1:5" x14ac:dyDescent="0.2">
      <c r="A313">
        <v>2017</v>
      </c>
      <c r="B313">
        <v>1</v>
      </c>
      <c r="C313">
        <f t="shared" si="8"/>
        <v>1</v>
      </c>
      <c r="D313" s="19">
        <f t="shared" si="9"/>
        <v>42736</v>
      </c>
      <c r="E313" s="16">
        <v>152</v>
      </c>
    </row>
  </sheetData>
  <sortState xmlns:xlrd2="http://schemas.microsoft.com/office/spreadsheetml/2017/richdata2" ref="A2:E313">
    <sortCondition descending="1" ref="A1:A313"/>
  </sortState>
  <conditionalFormatting sqref="A1:B1048576">
    <cfRule type="containsBlanks" dxfId="3" priority="2">
      <formula>LEN(TRIM(A1))=0</formula>
    </cfRule>
  </conditionalFormatting>
  <conditionalFormatting sqref="E1:E1048576">
    <cfRule type="containsBlanks" dxfId="2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74181-9EFC-7041-A6FB-F294744C629E}">
  <dimension ref="A1:Q73"/>
  <sheetViews>
    <sheetView zoomScale="58" workbookViewId="0">
      <pane ySplit="1" topLeftCell="A2" activePane="bottomLeft" state="frozen"/>
      <selection pane="bottomLeft" activeCell="P30" sqref="P30"/>
    </sheetView>
  </sheetViews>
  <sheetFormatPr baseColWidth="10" defaultRowHeight="16" x14ac:dyDescent="0.2"/>
  <cols>
    <col min="1" max="1" width="6.83203125" style="1" bestFit="1" customWidth="1"/>
    <col min="2" max="2" width="6.5" style="1" bestFit="1" customWidth="1"/>
    <col min="3" max="3" width="13.5" bestFit="1" customWidth="1"/>
    <col min="4" max="4" width="10.83203125" style="14"/>
    <col min="5" max="5" width="14" style="14" bestFit="1" customWidth="1"/>
    <col min="6" max="6" width="14.5" style="7" bestFit="1" customWidth="1"/>
    <col min="7" max="7" width="41.83203125" bestFit="1" customWidth="1"/>
    <col min="8" max="8" width="14.1640625" bestFit="1" customWidth="1"/>
    <col min="9" max="9" width="14.6640625" bestFit="1" customWidth="1"/>
    <col min="10" max="10" width="16.83203125" bestFit="1" customWidth="1"/>
    <col min="11" max="11" width="17.83203125" bestFit="1" customWidth="1"/>
    <col min="12" max="12" width="18" bestFit="1" customWidth="1"/>
    <col min="13" max="13" width="15.33203125" bestFit="1" customWidth="1"/>
    <col min="14" max="14" width="15.83203125" bestFit="1" customWidth="1"/>
    <col min="15" max="15" width="18" bestFit="1" customWidth="1"/>
    <col min="16" max="16" width="18.5" bestFit="1" customWidth="1"/>
    <col min="17" max="17" width="14.83203125" bestFit="1" customWidth="1"/>
  </cols>
  <sheetData>
    <row r="1" spans="1:17" x14ac:dyDescent="0.2">
      <c r="A1" s="2" t="s">
        <v>7</v>
      </c>
      <c r="B1" s="2" t="s">
        <v>10</v>
      </c>
      <c r="C1" s="2" t="s">
        <v>9</v>
      </c>
      <c r="D1" s="13" t="s">
        <v>11</v>
      </c>
      <c r="E1" s="13" t="s">
        <v>23</v>
      </c>
      <c r="F1" s="15" t="s">
        <v>24</v>
      </c>
      <c r="G1" s="2" t="s">
        <v>22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5" t="s">
        <v>17</v>
      </c>
      <c r="N1" s="2" t="s">
        <v>18</v>
      </c>
      <c r="O1" s="2" t="s">
        <v>19</v>
      </c>
      <c r="P1" s="2" t="s">
        <v>20</v>
      </c>
      <c r="Q1" s="2" t="s">
        <v>21</v>
      </c>
    </row>
    <row r="2" spans="1:17" x14ac:dyDescent="0.2">
      <c r="A2" s="1">
        <v>2017</v>
      </c>
      <c r="B2" s="1">
        <v>1</v>
      </c>
      <c r="C2" s="9">
        <v>42736</v>
      </c>
      <c r="D2" s="16">
        <f>SUMIFS('Weekly Incidence'!E:E, 'Weekly Incidence'!A:A, $A2, 'Weekly Incidence'!C:C, $B2)</f>
        <v>726</v>
      </c>
      <c r="E2" s="16">
        <v>1790000</v>
      </c>
      <c r="F2" s="20">
        <f t="shared" ref="F2:F37" si="0">(D2/E2)*100000</f>
        <v>40.558659217877093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46.5</v>
      </c>
      <c r="J2" s="1">
        <f>AVERAGEIFS('Daily Weather Data'!I:I,'Daily Weather Data'!D:D,A2,'Daily Weather Data'!C:C,B2)</f>
        <v>7.8935483870967742</v>
      </c>
      <c r="K2" s="1">
        <f>SUMIFS('Daily Weather Data'!I:I,'Daily Weather Data'!D:D,A2,'Daily Weather Data'!C:C,B2)</f>
        <v>244.7</v>
      </c>
      <c r="L2" s="1">
        <f>AVERAGEIFS('Daily Weather Data'!L:L,'Daily Weather Data'!D:D,A2,'Daily Weather Data'!C:C,B2)</f>
        <v>27.429032258064517</v>
      </c>
      <c r="M2" s="1">
        <f>_xlfn.MINIFS('Daily Weather Data'!K:K,'Daily Weather Data'!D:D,A2,'Daily Weather Data'!C:C,B2)</f>
        <v>22.6</v>
      </c>
      <c r="N2" s="1">
        <f>_xlfn.MAXIFS('Daily Weather Data'!J:J,'Daily Weather Data'!D:D,A2,'Daily Weather Data'!C:C,B2)</f>
        <v>34.200000000000003</v>
      </c>
      <c r="O2" s="1">
        <f>_xlfn.MINIFS('Daily Weather Data'!L:L,'Daily Weather Data'!D:D,A2,'Daily Weather Data'!C:C,B2)</f>
        <v>23.6</v>
      </c>
      <c r="P2" s="1">
        <f>_xlfn.MAXIFS('Daily Weather Data'!L:L,'Daily Weather Data'!D:D,A2,'Daily Weather Data'!C:C,B2)</f>
        <v>30.1</v>
      </c>
      <c r="Q2" s="1">
        <f>SUMIFS('Daily Weather Data'!M:M,'Daily Weather Data'!D:D,A2,'Daily Weather Data'!C:C,B2)</f>
        <v>18</v>
      </c>
    </row>
    <row r="3" spans="1:17" x14ac:dyDescent="0.2">
      <c r="A3" s="1">
        <v>2017</v>
      </c>
      <c r="B3" s="1">
        <v>2</v>
      </c>
      <c r="C3" s="9">
        <v>42767</v>
      </c>
      <c r="D3" s="16">
        <f>SUMIFS('Weekly Incidence'!E:E, 'Weekly Incidence'!A:A, $A3, 'Weekly Incidence'!C:C, $B3)</f>
        <v>595</v>
      </c>
      <c r="E3" s="16">
        <v>1790000</v>
      </c>
      <c r="F3" s="20">
        <f t="shared" si="0"/>
        <v>33.240223463687151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42.7</v>
      </c>
      <c r="J3" s="1">
        <f>AVERAGEIFS('Daily Weather Data'!I:I,'Daily Weather Data'!D:D,A3,'Daily Weather Data'!C:C,B3)</f>
        <v>3.9444444444444451</v>
      </c>
      <c r="K3" s="1">
        <f>SUMIFS('Daily Weather Data'!I:I,'Daily Weather Data'!D:D,A3,'Daily Weather Data'!C:C,B3)</f>
        <v>106.50000000000001</v>
      </c>
      <c r="L3" s="1">
        <f>AVERAGEIFS('Daily Weather Data'!L:L,'Daily Weather Data'!D:D,A3,'Daily Weather Data'!C:C,B3)</f>
        <v>28.082142857142852</v>
      </c>
      <c r="M3" s="1">
        <f>_xlfn.MINIFS('Daily Weather Data'!K:K,'Daily Weather Data'!D:D,A3,'Daily Weather Data'!C:C,B3)</f>
        <v>23.6</v>
      </c>
      <c r="N3" s="1">
        <f>_xlfn.MAXIFS('Daily Weather Data'!J:J,'Daily Weather Data'!D:D,A3,'Daily Weather Data'!C:C,B3)</f>
        <v>35</v>
      </c>
      <c r="O3" s="1">
        <f>_xlfn.MINIFS('Daily Weather Data'!L:L,'Daily Weather Data'!D:D,A3,'Daily Weather Data'!C:C,B3)</f>
        <v>26.2</v>
      </c>
      <c r="P3" s="1">
        <f>_xlfn.MAXIFS('Daily Weather Data'!L:L,'Daily Weather Data'!D:D,A3,'Daily Weather Data'!C:C,B3)</f>
        <v>29.2</v>
      </c>
      <c r="Q3" s="1">
        <f>SUMIFS('Daily Weather Data'!M:M,'Daily Weather Data'!D:D,A3,'Daily Weather Data'!C:C,B3)</f>
        <v>14</v>
      </c>
    </row>
    <row r="4" spans="1:17" x14ac:dyDescent="0.2">
      <c r="A4" s="1">
        <v>2017</v>
      </c>
      <c r="B4" s="1">
        <v>3</v>
      </c>
      <c r="C4" s="9">
        <v>42795</v>
      </c>
      <c r="D4" s="16">
        <f>SUMIFS('Weekly Incidence'!E:E, 'Weekly Incidence'!A:A, $A4, 'Weekly Incidence'!C:C, $B4)</f>
        <v>782</v>
      </c>
      <c r="E4" s="16">
        <v>1790000</v>
      </c>
      <c r="F4" s="20">
        <f t="shared" si="0"/>
        <v>43.687150837988831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48.5</v>
      </c>
      <c r="J4" s="1">
        <f>AVERAGEIFS('Daily Weather Data'!I:I,'Daily Weather Data'!D:D,A4,'Daily Weather Data'!C:C,B4)</f>
        <v>7.0967741935483861</v>
      </c>
      <c r="K4" s="1">
        <f>SUMIFS('Daily Weather Data'!I:I,'Daily Weather Data'!D:D,A4,'Daily Weather Data'!C:C,B4)</f>
        <v>219.99999999999997</v>
      </c>
      <c r="L4" s="1">
        <f>AVERAGEIFS('Daily Weather Data'!L:L,'Daily Weather Data'!D:D,A4,'Daily Weather Data'!C:C,B4)</f>
        <v>27.903225806451616</v>
      </c>
      <c r="M4" s="1">
        <f>_xlfn.MINIFS('Daily Weather Data'!K:K,'Daily Weather Data'!D:D,A4,'Daily Weather Data'!C:C,B4)</f>
        <v>23.8</v>
      </c>
      <c r="N4" s="1">
        <f>_xlfn.MAXIFS('Daily Weather Data'!J:J,'Daily Weather Data'!D:D,A4,'Daily Weather Data'!C:C,B4)</f>
        <v>35.700000000000003</v>
      </c>
      <c r="O4" s="1">
        <f>_xlfn.MINIFS('Daily Weather Data'!L:L,'Daily Weather Data'!D:D,A4,'Daily Weather Data'!C:C,B4)</f>
        <v>26.2</v>
      </c>
      <c r="P4" s="1">
        <f>_xlfn.MAXIFS('Daily Weather Data'!L:L,'Daily Weather Data'!D:D,A4,'Daily Weather Data'!C:C,B4)</f>
        <v>30</v>
      </c>
      <c r="Q4" s="1">
        <f>SUMIFS('Daily Weather Data'!M:M,'Daily Weather Data'!D:D,A4,'Daily Weather Data'!C:C,B4)</f>
        <v>21</v>
      </c>
    </row>
    <row r="5" spans="1:17" x14ac:dyDescent="0.2">
      <c r="A5" s="1">
        <v>2017</v>
      </c>
      <c r="B5" s="1">
        <v>4</v>
      </c>
      <c r="C5" s="9">
        <v>42826</v>
      </c>
      <c r="D5" s="16">
        <f>SUMIFS('Weekly Incidence'!E:E, 'Weekly Incidence'!A:A, $A5, 'Weekly Incidence'!C:C, $B5)</f>
        <v>841</v>
      </c>
      <c r="E5" s="16">
        <v>1790000</v>
      </c>
      <c r="F5" s="20">
        <f t="shared" si="0"/>
        <v>46.983240223463689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65.3</v>
      </c>
      <c r="J5" s="1">
        <f>AVERAGEIFS('Daily Weather Data'!I:I,'Daily Weather Data'!D:D,A5,'Daily Weather Data'!C:C,B5)</f>
        <v>10.063333333333333</v>
      </c>
      <c r="K5" s="1">
        <f>SUMIFS('Daily Weather Data'!I:I,'Daily Weather Data'!D:D,A5,'Daily Weather Data'!C:C,B5)</f>
        <v>301.89999999999998</v>
      </c>
      <c r="L5" s="1">
        <f>AVERAGEIFS('Daily Weather Data'!L:L,'Daily Weather Data'!D:D,A5,'Daily Weather Data'!C:C,B5)</f>
        <v>27.933333333333337</v>
      </c>
      <c r="M5" s="1">
        <f>_xlfn.MINIFS('Daily Weather Data'!K:K,'Daily Weather Data'!D:D,A5,'Daily Weather Data'!C:C,B5)</f>
        <v>23.6</v>
      </c>
      <c r="N5" s="1">
        <f>_xlfn.MAXIFS('Daily Weather Data'!J:J,'Daily Weather Data'!D:D,A5,'Daily Weather Data'!C:C,B5)</f>
        <v>34.799999999999997</v>
      </c>
      <c r="O5" s="1">
        <f>_xlfn.MINIFS('Daily Weather Data'!L:L,'Daily Weather Data'!D:D,A5,'Daily Weather Data'!C:C,B5)</f>
        <v>25.5</v>
      </c>
      <c r="P5" s="1">
        <f>_xlfn.MAXIFS('Daily Weather Data'!L:L,'Daily Weather Data'!D:D,A5,'Daily Weather Data'!C:C,B5)</f>
        <v>30.1</v>
      </c>
      <c r="Q5" s="1">
        <f>SUMIFS('Daily Weather Data'!M:M,'Daily Weather Data'!D:D,A5,'Daily Weather Data'!C:C,B5)</f>
        <v>19</v>
      </c>
    </row>
    <row r="6" spans="1:17" x14ac:dyDescent="0.2">
      <c r="A6" s="1">
        <v>2017</v>
      </c>
      <c r="B6" s="1">
        <v>5</v>
      </c>
      <c r="C6" s="9">
        <v>42856</v>
      </c>
      <c r="D6" s="16">
        <f>SUMIFS('Weekly Incidence'!E:E, 'Weekly Incidence'!A:A, $A6, 'Weekly Incidence'!C:C, $B6)</f>
        <v>677</v>
      </c>
      <c r="E6" s="16">
        <v>1790000</v>
      </c>
      <c r="F6" s="20">
        <f t="shared" si="0"/>
        <v>37.821229050279335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47.5</v>
      </c>
      <c r="J6" s="1">
        <f>AVERAGEIFS('Daily Weather Data'!I:I,'Daily Weather Data'!D:D,A6,'Daily Weather Data'!C:C,B6)</f>
        <v>7.9548387096774222</v>
      </c>
      <c r="K6" s="1">
        <f>SUMIFS('Daily Weather Data'!I:I,'Daily Weather Data'!D:D,A6,'Daily Weather Data'!C:C,B6)</f>
        <v>246.60000000000008</v>
      </c>
      <c r="L6" s="1">
        <f>AVERAGEIFS('Daily Weather Data'!L:L,'Daily Weather Data'!D:D,A6,'Daily Weather Data'!C:C,B6)</f>
        <v>28.267741935483876</v>
      </c>
      <c r="M6" s="1">
        <f>_xlfn.MINIFS('Daily Weather Data'!K:K,'Daily Weather Data'!D:D,A6,'Daily Weather Data'!C:C,B6)</f>
        <v>22.7</v>
      </c>
      <c r="N6" s="1">
        <f>_xlfn.MAXIFS('Daily Weather Data'!J:J,'Daily Weather Data'!D:D,A6,'Daily Weather Data'!C:C,B6)</f>
        <v>0</v>
      </c>
      <c r="O6" s="1">
        <f>_xlfn.MINIFS('Daily Weather Data'!L:L,'Daily Weather Data'!D:D,A6,'Daily Weather Data'!C:C,B6)</f>
        <v>26.4</v>
      </c>
      <c r="P6" s="1">
        <f>_xlfn.MAXIFS('Daily Weather Data'!L:L,'Daily Weather Data'!D:D,A6,'Daily Weather Data'!C:C,B6)</f>
        <v>30.3</v>
      </c>
      <c r="Q6" s="1">
        <f>SUMIFS('Daily Weather Data'!M:M,'Daily Weather Data'!D:D,A6,'Daily Weather Data'!C:C,B6)</f>
        <v>19</v>
      </c>
    </row>
    <row r="7" spans="1:17" x14ac:dyDescent="0.2">
      <c r="A7" s="1">
        <v>2017</v>
      </c>
      <c r="B7" s="1">
        <v>6</v>
      </c>
      <c r="C7" s="9">
        <v>42887</v>
      </c>
      <c r="D7" s="16">
        <f>SUMIFS('Weekly Incidence'!E:E, 'Weekly Incidence'!A:A, $A7, 'Weekly Incidence'!C:C, $B7)</f>
        <v>690</v>
      </c>
      <c r="E7" s="16">
        <v>1790000</v>
      </c>
      <c r="F7" s="20">
        <f t="shared" si="0"/>
        <v>38.547486033519554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70.099999999999994</v>
      </c>
      <c r="J7" s="1">
        <f>AVERAGEIFS('Daily Weather Data'!I:I,'Daily Weather Data'!D:D,A7,'Daily Weather Data'!C:C,B7)</f>
        <v>6.7666666666666675</v>
      </c>
      <c r="K7" s="1">
        <f>SUMIFS('Daily Weather Data'!I:I,'Daily Weather Data'!D:D,A7,'Daily Weather Data'!C:C,B7)</f>
        <v>203.00000000000003</v>
      </c>
      <c r="L7" s="1">
        <f>AVERAGEIFS('Daily Weather Data'!L:L,'Daily Weather Data'!D:D,A7,'Daily Weather Data'!C:C,B7)</f>
        <v>28.51</v>
      </c>
      <c r="M7" s="1">
        <f>_xlfn.MINIFS('Daily Weather Data'!K:K,'Daily Weather Data'!D:D,A7,'Daily Weather Data'!C:C,B7)</f>
        <v>22.6</v>
      </c>
      <c r="N7" s="1">
        <f>_xlfn.MAXIFS('Daily Weather Data'!J:J,'Daily Weather Data'!D:D,A7,'Daily Weather Data'!C:C,B7)</f>
        <v>0</v>
      </c>
      <c r="O7" s="1">
        <f>_xlfn.MINIFS('Daily Weather Data'!L:L,'Daily Weather Data'!D:D,A7,'Daily Weather Data'!C:C,B7)</f>
        <v>26.3</v>
      </c>
      <c r="P7" s="1">
        <f>_xlfn.MAXIFS('Daily Weather Data'!L:L,'Daily Weather Data'!D:D,A7,'Daily Weather Data'!C:C,B7)</f>
        <v>30.4</v>
      </c>
      <c r="Q7" s="1">
        <f>SUMIFS('Daily Weather Data'!M:M,'Daily Weather Data'!D:D,A7,'Daily Weather Data'!C:C,B7)</f>
        <v>14</v>
      </c>
    </row>
    <row r="8" spans="1:17" x14ac:dyDescent="0.2">
      <c r="A8" s="1">
        <v>2017</v>
      </c>
      <c r="B8" s="1">
        <v>7</v>
      </c>
      <c r="C8" s="9">
        <v>42917</v>
      </c>
      <c r="D8" s="16">
        <f>SUMIFS('Weekly Incidence'!E:E, 'Weekly Incidence'!A:A, $A8, 'Weekly Incidence'!C:C, $B8)</f>
        <v>1115</v>
      </c>
      <c r="E8" s="16">
        <v>1790000</v>
      </c>
      <c r="F8" s="20">
        <f t="shared" si="0"/>
        <v>62.290502793296092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40.6</v>
      </c>
      <c r="J8" s="1">
        <f>AVERAGEIFS('Daily Weather Data'!I:I,'Daily Weather Data'!D:D,A8,'Daily Weather Data'!C:C,B8)</f>
        <v>4.7387096774193544</v>
      </c>
      <c r="K8" s="1">
        <f>SUMIFS('Daily Weather Data'!I:I,'Daily Weather Data'!D:D,A8,'Daily Weather Data'!C:C,B8)</f>
        <v>146.89999999999998</v>
      </c>
      <c r="L8" s="1">
        <f>AVERAGEIFS('Daily Weather Data'!L:L,'Daily Weather Data'!D:D,A8,'Daily Weather Data'!C:C,B8)</f>
        <v>28.432258064516127</v>
      </c>
      <c r="M8" s="1">
        <f>_xlfn.MINIFS('Daily Weather Data'!K:K,'Daily Weather Data'!D:D,A8,'Daily Weather Data'!C:C,B8)</f>
        <v>22.1</v>
      </c>
      <c r="N8" s="1">
        <f>_xlfn.MAXIFS('Daily Weather Data'!J:J,'Daily Weather Data'!D:D,A8,'Daily Weather Data'!C:C,B8)</f>
        <v>0</v>
      </c>
      <c r="O8" s="1">
        <f>_xlfn.MINIFS('Daily Weather Data'!L:L,'Daily Weather Data'!D:D,A8,'Daily Weather Data'!C:C,B8)</f>
        <v>26.4</v>
      </c>
      <c r="P8" s="1">
        <f>_xlfn.MAXIFS('Daily Weather Data'!L:L,'Daily Weather Data'!D:D,A8,'Daily Weather Data'!C:C,B8)</f>
        <v>30.1</v>
      </c>
      <c r="Q8" s="1">
        <f>SUMIFS('Daily Weather Data'!M:M,'Daily Weather Data'!D:D,A8,'Daily Weather Data'!C:C,B8)</f>
        <v>9</v>
      </c>
    </row>
    <row r="9" spans="1:17" x14ac:dyDescent="0.2">
      <c r="A9" s="1">
        <v>2017</v>
      </c>
      <c r="B9" s="1">
        <v>8</v>
      </c>
      <c r="C9" s="9">
        <v>42948</v>
      </c>
      <c r="D9" s="16">
        <f>SUMIFS('Weekly Incidence'!E:E, 'Weekly Incidence'!A:A, $A9, 'Weekly Incidence'!C:C, $B9)</f>
        <v>578</v>
      </c>
      <c r="E9" s="16">
        <v>1790000</v>
      </c>
      <c r="F9" s="20">
        <f t="shared" si="0"/>
        <v>32.290502793296092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57.9</v>
      </c>
      <c r="J9" s="1">
        <f>AVERAGEIFS('Daily Weather Data'!I:I,'Daily Weather Data'!D:D,A9,'Daily Weather Data'!C:C,B9)</f>
        <v>9.3774193548387093</v>
      </c>
      <c r="K9" s="1">
        <f>SUMIFS('Daily Weather Data'!I:I,'Daily Weather Data'!D:D,A9,'Daily Weather Data'!C:C,B9)</f>
        <v>290.7</v>
      </c>
      <c r="L9" s="1">
        <f>AVERAGEIFS('Daily Weather Data'!L:L,'Daily Weather Data'!D:D,A9,'Daily Weather Data'!C:C,B9)</f>
        <v>27.916129032258059</v>
      </c>
      <c r="M9" s="1">
        <f>_xlfn.MINIFS('Daily Weather Data'!K:K,'Daily Weather Data'!D:D,A9,'Daily Weather Data'!C:C,B9)</f>
        <v>22.4</v>
      </c>
      <c r="N9" s="1">
        <f>_xlfn.MAXIFS('Daily Weather Data'!J:J,'Daily Weather Data'!D:D,A9,'Daily Weather Data'!C:C,B9)</f>
        <v>0</v>
      </c>
      <c r="O9" s="1">
        <f>_xlfn.MINIFS('Daily Weather Data'!L:L,'Daily Weather Data'!D:D,A9,'Daily Weather Data'!C:C,B9)</f>
        <v>25.4</v>
      </c>
      <c r="P9" s="1">
        <f>_xlfn.MAXIFS('Daily Weather Data'!L:L,'Daily Weather Data'!D:D,A9,'Daily Weather Data'!C:C,B9)</f>
        <v>29.6</v>
      </c>
      <c r="Q9" s="1">
        <f>SUMIFS('Daily Weather Data'!M:M,'Daily Weather Data'!D:D,A9,'Daily Weather Data'!C:C,B9)</f>
        <v>18</v>
      </c>
    </row>
    <row r="10" spans="1:17" x14ac:dyDescent="0.2">
      <c r="A10" s="1">
        <v>2017</v>
      </c>
      <c r="B10" s="1">
        <v>9</v>
      </c>
      <c r="C10" s="9">
        <v>42979</v>
      </c>
      <c r="D10" s="16">
        <f>SUMIFS('Weekly Incidence'!E:E, 'Weekly Incidence'!A:A, $A10, 'Weekly Incidence'!C:C, $B10)</f>
        <v>413</v>
      </c>
      <c r="E10" s="16">
        <v>1790000</v>
      </c>
      <c r="F10" s="20">
        <f t="shared" si="0"/>
        <v>23.072625698324021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55.9</v>
      </c>
      <c r="J10" s="1">
        <f>AVERAGEIFS('Daily Weather Data'!I:I,'Daily Weather Data'!D:D,A10,'Daily Weather Data'!C:C,B10)</f>
        <v>8.7166666666666668</v>
      </c>
      <c r="K10" s="1">
        <f>SUMIFS('Daily Weather Data'!I:I,'Daily Weather Data'!D:D,A10,'Daily Weather Data'!C:C,B10)</f>
        <v>261.5</v>
      </c>
      <c r="L10" s="1">
        <f>AVERAGEIFS('Daily Weather Data'!L:L,'Daily Weather Data'!D:D,A10,'Daily Weather Data'!C:C,B10)</f>
        <v>27.440000000000005</v>
      </c>
      <c r="M10" s="1">
        <f>_xlfn.MINIFS('Daily Weather Data'!K:K,'Daily Weather Data'!D:D,A10,'Daily Weather Data'!C:C,B10)</f>
        <v>22.9</v>
      </c>
      <c r="N10" s="1">
        <f>_xlfn.MAXIFS('Daily Weather Data'!J:J,'Daily Weather Data'!D:D,A10,'Daily Weather Data'!C:C,B10)</f>
        <v>0</v>
      </c>
      <c r="O10" s="1">
        <f>_xlfn.MINIFS('Daily Weather Data'!L:L,'Daily Weather Data'!D:D,A10,'Daily Weather Data'!C:C,B10)</f>
        <v>25.9</v>
      </c>
      <c r="P10" s="1">
        <f>_xlfn.MAXIFS('Daily Weather Data'!L:L,'Daily Weather Data'!D:D,A10,'Daily Weather Data'!C:C,B10)</f>
        <v>29.2</v>
      </c>
      <c r="Q10" s="1">
        <f>SUMIFS('Daily Weather Data'!M:M,'Daily Weather Data'!D:D,A10,'Daily Weather Data'!C:C,B10)</f>
        <v>21</v>
      </c>
    </row>
    <row r="11" spans="1:17" x14ac:dyDescent="0.2">
      <c r="A11" s="1">
        <v>2017</v>
      </c>
      <c r="B11" s="1">
        <v>10</v>
      </c>
      <c r="C11" s="9">
        <v>43009</v>
      </c>
      <c r="D11" s="16">
        <f>SUMIFS('Weekly Incidence'!E:E, 'Weekly Incidence'!A:A, $A11, 'Weekly Incidence'!C:C, $B11)</f>
        <v>517</v>
      </c>
      <c r="E11" s="16">
        <v>1790000</v>
      </c>
      <c r="F11" s="20">
        <f t="shared" si="0"/>
        <v>28.882681564245811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68.099999999999994</v>
      </c>
      <c r="J11" s="1">
        <f>AVERAGEIFS('Daily Weather Data'!I:I,'Daily Weather Data'!D:D,A11,'Daily Weather Data'!C:C,B11)</f>
        <v>6.0607142857142851</v>
      </c>
      <c r="K11" s="1">
        <f>SUMIFS('Daily Weather Data'!I:I,'Daily Weather Data'!D:D,A11,'Daily Weather Data'!C:C,B11)</f>
        <v>169.7</v>
      </c>
      <c r="L11" s="1">
        <f>AVERAGEIFS('Daily Weather Data'!L:L,'Daily Weather Data'!D:D,A11,'Daily Weather Data'!C:C,B11)</f>
        <v>28.080645161290327</v>
      </c>
      <c r="M11" s="1">
        <f>_xlfn.MINIFS('Daily Weather Data'!K:K,'Daily Weather Data'!D:D,A11,'Daily Weather Data'!C:C,B11)</f>
        <v>23.1</v>
      </c>
      <c r="N11" s="1">
        <f>_xlfn.MAXIFS('Daily Weather Data'!J:J,'Daily Weather Data'!D:D,A11,'Daily Weather Data'!C:C,B11)</f>
        <v>0</v>
      </c>
      <c r="O11" s="1">
        <f>_xlfn.MINIFS('Daily Weather Data'!L:L,'Daily Weather Data'!D:D,A11,'Daily Weather Data'!C:C,B11)</f>
        <v>24.7</v>
      </c>
      <c r="P11" s="1">
        <f>_xlfn.MAXIFS('Daily Weather Data'!L:L,'Daily Weather Data'!D:D,A11,'Daily Weather Data'!C:C,B11)</f>
        <v>30.3</v>
      </c>
      <c r="Q11" s="1">
        <f>SUMIFS('Daily Weather Data'!M:M,'Daily Weather Data'!D:D,A11,'Daily Weather Data'!C:C,B11)</f>
        <v>12</v>
      </c>
    </row>
    <row r="12" spans="1:17" x14ac:dyDescent="0.2">
      <c r="A12" s="1">
        <v>2017</v>
      </c>
      <c r="B12" s="1">
        <v>11</v>
      </c>
      <c r="C12" s="9">
        <v>43040</v>
      </c>
      <c r="D12" s="16">
        <f>SUMIFS('Weekly Incidence'!E:E, 'Weekly Incidence'!A:A, $A12, 'Weekly Incidence'!C:C, $B12)</f>
        <v>335</v>
      </c>
      <c r="E12" s="16">
        <v>1790000</v>
      </c>
      <c r="F12" s="20">
        <f t="shared" si="0"/>
        <v>18.715083798882681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70.400000000000006</v>
      </c>
      <c r="J12" s="1">
        <f>AVERAGEIFS('Daily Weather Data'!I:I,'Daily Weather Data'!D:D,A12,'Daily Weather Data'!C:C,B12)</f>
        <v>11.27</v>
      </c>
      <c r="K12" s="1">
        <f>SUMIFS('Daily Weather Data'!I:I,'Daily Weather Data'!D:D,A12,'Daily Weather Data'!C:C,B12)</f>
        <v>338.09999999999997</v>
      </c>
      <c r="L12" s="1">
        <f>AVERAGEIFS('Daily Weather Data'!L:L,'Daily Weather Data'!D:D,A12,'Daily Weather Data'!C:C,B12)</f>
        <v>26.98</v>
      </c>
      <c r="M12" s="1">
        <f>_xlfn.MINIFS('Daily Weather Data'!K:K,'Daily Weather Data'!D:D,A12,'Daily Weather Data'!C:C,B12)</f>
        <v>22.6</v>
      </c>
      <c r="N12" s="1">
        <f>_xlfn.MAXIFS('Daily Weather Data'!J:J,'Daily Weather Data'!D:D,A12,'Daily Weather Data'!C:C,B12)</f>
        <v>30.2</v>
      </c>
      <c r="O12" s="1">
        <f>_xlfn.MINIFS('Daily Weather Data'!L:L,'Daily Weather Data'!D:D,A12,'Daily Weather Data'!C:C,B12)</f>
        <v>25.6</v>
      </c>
      <c r="P12" s="1">
        <f>_xlfn.MAXIFS('Daily Weather Data'!L:L,'Daily Weather Data'!D:D,A12,'Daily Weather Data'!C:C,B12)</f>
        <v>29.2</v>
      </c>
      <c r="Q12" s="1">
        <f>SUMIFS('Daily Weather Data'!M:M,'Daily Weather Data'!D:D,A12,'Daily Weather Data'!C:C,B12)</f>
        <v>26</v>
      </c>
    </row>
    <row r="13" spans="1:17" x14ac:dyDescent="0.2">
      <c r="A13" s="1">
        <v>2017</v>
      </c>
      <c r="B13" s="1">
        <v>12</v>
      </c>
      <c r="C13" s="9">
        <v>43070</v>
      </c>
      <c r="D13" s="16">
        <f>SUMIFS('Weekly Incidence'!E:E, 'Weekly Incidence'!A:A, $A13, 'Weekly Incidence'!C:C, $B13)</f>
        <v>342</v>
      </c>
      <c r="E13" s="16">
        <v>1790000</v>
      </c>
      <c r="F13" s="20">
        <f t="shared" si="0"/>
        <v>19.106145251396647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17.5</v>
      </c>
      <c r="J13" s="1">
        <f>AVERAGEIFS('Daily Weather Data'!I:I,'Daily Weather Data'!D:D,A13,'Daily Weather Data'!C:C,B13)</f>
        <v>2.6612903225806446</v>
      </c>
      <c r="K13" s="1">
        <f>SUMIFS('Daily Weather Data'!I:I,'Daily Weather Data'!D:D,A13,'Daily Weather Data'!C:C,B13)</f>
        <v>82.499999999999986</v>
      </c>
      <c r="L13" s="1">
        <f>AVERAGEIFS('Daily Weather Data'!L:L,'Daily Weather Data'!D:D,A13,'Daily Weather Data'!C:C,B13)</f>
        <v>27.825806451612898</v>
      </c>
      <c r="M13" s="1">
        <f>_xlfn.MINIFS('Daily Weather Data'!K:K,'Daily Weather Data'!D:D,A13,'Daily Weather Data'!C:C,B13)</f>
        <v>23.7</v>
      </c>
      <c r="N13" s="1">
        <f>_xlfn.MAXIFS('Daily Weather Data'!J:J,'Daily Weather Data'!D:D,A13,'Daily Weather Data'!C:C,B13)</f>
        <v>0</v>
      </c>
      <c r="O13" s="1">
        <f>_xlfn.MINIFS('Daily Weather Data'!L:L,'Daily Weather Data'!D:D,A13,'Daily Weather Data'!C:C,B13)</f>
        <v>26.7</v>
      </c>
      <c r="P13" s="1">
        <f>_xlfn.MAXIFS('Daily Weather Data'!L:L,'Daily Weather Data'!D:D,A13,'Daily Weather Data'!C:C,B13)</f>
        <v>30.1</v>
      </c>
      <c r="Q13" s="1">
        <f>SUMIFS('Daily Weather Data'!M:M,'Daily Weather Data'!D:D,A13,'Daily Weather Data'!C:C,B13)</f>
        <v>15</v>
      </c>
    </row>
    <row r="14" spans="1:17" x14ac:dyDescent="0.2">
      <c r="A14" s="1">
        <v>2018</v>
      </c>
      <c r="B14" s="1">
        <v>1</v>
      </c>
      <c r="C14" s="9">
        <v>43101</v>
      </c>
      <c r="D14" s="16">
        <f>SUMIFS('Weekly Incidence'!E:E, 'Weekly Incidence'!A:A, $A14, 'Weekly Incidence'!C:C, $B14)</f>
        <v>421</v>
      </c>
      <c r="E14" s="16">
        <v>1790000</v>
      </c>
      <c r="F14" s="20">
        <f t="shared" si="0"/>
        <v>23.519553072625701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105.9</v>
      </c>
      <c r="J14" s="1">
        <f>AVERAGEIFS('Daily Weather Data'!I:I,'Daily Weather Data'!D:D,A14,'Daily Weather Data'!C:C,B14)</f>
        <v>14.035483870967743</v>
      </c>
      <c r="K14" s="1">
        <f>SUMIFS('Daily Weather Data'!I:I,'Daily Weather Data'!D:D,A14,'Daily Weather Data'!C:C,B14)</f>
        <v>435.1</v>
      </c>
      <c r="L14" s="1">
        <f>AVERAGEIFS('Daily Weather Data'!L:L,'Daily Weather Data'!D:D,A14,'Daily Weather Data'!C:C,B14)</f>
        <v>26.470967741935485</v>
      </c>
      <c r="M14" s="1">
        <f>_xlfn.MINIFS('Daily Weather Data'!K:K,'Daily Weather Data'!D:D,A14,'Daily Weather Data'!C:C,B14)</f>
        <v>21.3</v>
      </c>
      <c r="N14" s="1">
        <f>_xlfn.MAXIFS('Daily Weather Data'!J:J,'Daily Weather Data'!D:D,A14,'Daily Weather Data'!C:C,B14)</f>
        <v>0</v>
      </c>
      <c r="O14" s="1">
        <f>_xlfn.MINIFS('Daily Weather Data'!L:L,'Daily Weather Data'!D:D,A14,'Daily Weather Data'!C:C,B14)</f>
        <v>23</v>
      </c>
      <c r="P14" s="1">
        <f>_xlfn.MAXIFS('Daily Weather Data'!L:L,'Daily Weather Data'!D:D,A14,'Daily Weather Data'!C:C,B14)</f>
        <v>29.2</v>
      </c>
      <c r="Q14" s="1">
        <f>SUMIFS('Daily Weather Data'!M:M,'Daily Weather Data'!D:D,A14,'Daily Weather Data'!C:C,B14)</f>
        <v>20</v>
      </c>
    </row>
    <row r="15" spans="1:17" x14ac:dyDescent="0.2">
      <c r="A15" s="1">
        <v>2018</v>
      </c>
      <c r="B15" s="1">
        <v>2</v>
      </c>
      <c r="C15" s="9">
        <v>43132</v>
      </c>
      <c r="D15" s="16">
        <f>SUMIFS('Weekly Incidence'!E:E, 'Weekly Incidence'!A:A, $A15, 'Weekly Incidence'!C:C, $B15)</f>
        <v>210</v>
      </c>
      <c r="E15" s="16">
        <v>1790000</v>
      </c>
      <c r="F15" s="20">
        <f t="shared" si="0"/>
        <v>11.731843575418994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31.8</v>
      </c>
      <c r="J15" s="1">
        <f>AVERAGEIFS('Daily Weather Data'!I:I,'Daily Weather Data'!D:D,A15,'Daily Weather Data'!C:C,B15)</f>
        <v>4.7142857142857144</v>
      </c>
      <c r="K15" s="1">
        <f>SUMIFS('Daily Weather Data'!I:I,'Daily Weather Data'!D:D,A15,'Daily Weather Data'!C:C,B15)</f>
        <v>132</v>
      </c>
      <c r="L15" s="1">
        <f>AVERAGEIFS('Daily Weather Data'!L:L,'Daily Weather Data'!D:D,A15,'Daily Weather Data'!C:C,B15)</f>
        <v>27.999999999999996</v>
      </c>
      <c r="M15" s="1">
        <f>_xlfn.MINIFS('Daily Weather Data'!K:K,'Daily Weather Data'!D:D,A15,'Daily Weather Data'!C:C,B15)</f>
        <v>22.6</v>
      </c>
      <c r="N15" s="1">
        <f>_xlfn.MAXIFS('Daily Weather Data'!J:J,'Daily Weather Data'!D:D,A15,'Daily Weather Data'!C:C,B15)</f>
        <v>0</v>
      </c>
      <c r="O15" s="1">
        <f>_xlfn.MINIFS('Daily Weather Data'!L:L,'Daily Weather Data'!D:D,A15,'Daily Weather Data'!C:C,B15)</f>
        <v>26.6</v>
      </c>
      <c r="P15" s="1">
        <f>_xlfn.MAXIFS('Daily Weather Data'!L:L,'Daily Weather Data'!D:D,A15,'Daily Weather Data'!C:C,B15)</f>
        <v>29.2</v>
      </c>
      <c r="Q15" s="1">
        <f>SUMIFS('Daily Weather Data'!M:M,'Daily Weather Data'!D:D,A15,'Daily Weather Data'!C:C,B15)</f>
        <v>13</v>
      </c>
    </row>
    <row r="16" spans="1:17" x14ac:dyDescent="0.2">
      <c r="A16" s="1">
        <v>2018</v>
      </c>
      <c r="B16" s="1">
        <v>3</v>
      </c>
      <c r="C16" s="9">
        <v>43160</v>
      </c>
      <c r="D16" s="16">
        <f>SUMIFS('Weekly Incidence'!E:E, 'Weekly Incidence'!A:A, $A16, 'Weekly Incidence'!C:C, $B16)</f>
        <v>319</v>
      </c>
      <c r="E16" s="16">
        <v>1790000</v>
      </c>
      <c r="F16" s="20">
        <f t="shared" si="0"/>
        <v>17.821229050279328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73.400000000000006</v>
      </c>
      <c r="J16" s="1">
        <f>AVERAGEIFS('Daily Weather Data'!I:I,'Daily Weather Data'!D:D,A16,'Daily Weather Data'!C:C,B16)</f>
        <v>11.093548387096776</v>
      </c>
      <c r="K16" s="1">
        <f>SUMIFS('Daily Weather Data'!I:I,'Daily Weather Data'!D:D,A16,'Daily Weather Data'!C:C,B16)</f>
        <v>343.90000000000003</v>
      </c>
      <c r="L16" s="1">
        <f>AVERAGEIFS('Daily Weather Data'!L:L,'Daily Weather Data'!D:D,A16,'Daily Weather Data'!C:C,B16)</f>
        <v>27.906451612903222</v>
      </c>
      <c r="M16" s="1">
        <f>_xlfn.MINIFS('Daily Weather Data'!K:K,'Daily Weather Data'!D:D,A16,'Daily Weather Data'!C:C,B16)</f>
        <v>23</v>
      </c>
      <c r="N16" s="1">
        <f>_xlfn.MAXIFS('Daily Weather Data'!J:J,'Daily Weather Data'!D:D,A16,'Daily Weather Data'!C:C,B16)</f>
        <v>0</v>
      </c>
      <c r="O16" s="1">
        <f>_xlfn.MINIFS('Daily Weather Data'!L:L,'Daily Weather Data'!D:D,A16,'Daily Weather Data'!C:C,B16)</f>
        <v>25.6</v>
      </c>
      <c r="P16" s="1">
        <f>_xlfn.MAXIFS('Daily Weather Data'!L:L,'Daily Weather Data'!D:D,A16,'Daily Weather Data'!C:C,B16)</f>
        <v>29.7</v>
      </c>
      <c r="Q16" s="1">
        <f>SUMIFS('Daily Weather Data'!M:M,'Daily Weather Data'!D:D,A16,'Daily Weather Data'!C:C,B16)</f>
        <v>22</v>
      </c>
    </row>
    <row r="17" spans="1:17" x14ac:dyDescent="0.2">
      <c r="A17" s="1">
        <v>2018</v>
      </c>
      <c r="B17" s="1">
        <v>4</v>
      </c>
      <c r="C17" s="9">
        <v>43191</v>
      </c>
      <c r="D17" s="16">
        <f>SUMIFS('Weekly Incidence'!E:E, 'Weekly Incidence'!A:A, $A17, 'Weekly Incidence'!C:C, $B17)</f>
        <v>463</v>
      </c>
      <c r="E17" s="16">
        <v>1790000</v>
      </c>
      <c r="F17" s="20">
        <f t="shared" si="0"/>
        <v>25.865921787709496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32</v>
      </c>
      <c r="J17" s="1">
        <f>AVERAGEIFS('Daily Weather Data'!I:I,'Daily Weather Data'!D:D,A17,'Daily Weather Data'!C:C,B17)</f>
        <v>6.3200000000000012</v>
      </c>
      <c r="K17" s="1">
        <f>SUMIFS('Daily Weather Data'!I:I,'Daily Weather Data'!D:D,A17,'Daily Weather Data'!C:C,B17)</f>
        <v>189.60000000000002</v>
      </c>
      <c r="L17" s="1">
        <f>AVERAGEIFS('Daily Weather Data'!L:L,'Daily Weather Data'!D:D,A17,'Daily Weather Data'!C:C,B17)</f>
        <v>28.40333333333334</v>
      </c>
      <c r="M17" s="1">
        <f>_xlfn.MINIFS('Daily Weather Data'!K:K,'Daily Weather Data'!D:D,A17,'Daily Weather Data'!C:C,B17)</f>
        <v>23.2</v>
      </c>
      <c r="N17" s="1">
        <f>_xlfn.MAXIFS('Daily Weather Data'!J:J,'Daily Weather Data'!D:D,A17,'Daily Weather Data'!C:C,B17)</f>
        <v>0</v>
      </c>
      <c r="O17" s="1">
        <f>_xlfn.MINIFS('Daily Weather Data'!L:L,'Daily Weather Data'!D:D,A17,'Daily Weather Data'!C:C,B17)</f>
        <v>26.4</v>
      </c>
      <c r="P17" s="1">
        <f>_xlfn.MAXIFS('Daily Weather Data'!L:L,'Daily Weather Data'!D:D,A17,'Daily Weather Data'!C:C,B17)</f>
        <v>30.9</v>
      </c>
      <c r="Q17" s="1">
        <f>SUMIFS('Daily Weather Data'!M:M,'Daily Weather Data'!D:D,A17,'Daily Weather Data'!C:C,B17)</f>
        <v>19</v>
      </c>
    </row>
    <row r="18" spans="1:17" x14ac:dyDescent="0.2">
      <c r="A18" s="1">
        <v>2018</v>
      </c>
      <c r="B18" s="1">
        <v>5</v>
      </c>
      <c r="C18" s="9">
        <v>43221</v>
      </c>
      <c r="D18" s="16">
        <f>SUMIFS('Weekly Incidence'!E:E, 'Weekly Incidence'!A:A, $A18, 'Weekly Incidence'!C:C, $B18)</f>
        <v>530</v>
      </c>
      <c r="E18" s="16">
        <v>1790000</v>
      </c>
      <c r="F18" s="20">
        <f t="shared" si="0"/>
        <v>29.608938547486034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108.2</v>
      </c>
      <c r="J18" s="1">
        <f>AVERAGEIFS('Daily Weather Data'!I:I,'Daily Weather Data'!D:D,A18,'Daily Weather Data'!C:C,B18)</f>
        <v>18.032258064516128</v>
      </c>
      <c r="K18" s="1">
        <f>SUMIFS('Daily Weather Data'!I:I,'Daily Weather Data'!D:D,A18,'Daily Weather Data'!C:C,B18)</f>
        <v>559</v>
      </c>
      <c r="L18" s="1">
        <f>AVERAGEIFS('Daily Weather Data'!L:L,'Daily Weather Data'!D:D,A18,'Daily Weather Data'!C:C,B18)</f>
        <v>27.638709677419353</v>
      </c>
      <c r="M18" s="1">
        <f>_xlfn.MINIFS('Daily Weather Data'!K:K,'Daily Weather Data'!D:D,A18,'Daily Weather Data'!C:C,B18)</f>
        <v>22.7</v>
      </c>
      <c r="N18" s="1">
        <f>_xlfn.MAXIFS('Daily Weather Data'!J:J,'Daily Weather Data'!D:D,A18,'Daily Weather Data'!C:C,B18)</f>
        <v>0</v>
      </c>
      <c r="O18" s="1">
        <f>_xlfn.MINIFS('Daily Weather Data'!L:L,'Daily Weather Data'!D:D,A18,'Daily Weather Data'!C:C,B18)</f>
        <v>25.7</v>
      </c>
      <c r="P18" s="1">
        <f>_xlfn.MAXIFS('Daily Weather Data'!L:L,'Daily Weather Data'!D:D,A18,'Daily Weather Data'!C:C,B18)</f>
        <v>30</v>
      </c>
      <c r="Q18" s="1">
        <f>SUMIFS('Daily Weather Data'!M:M,'Daily Weather Data'!D:D,A18,'Daily Weather Data'!C:C,B18)</f>
        <v>22</v>
      </c>
    </row>
    <row r="19" spans="1:17" x14ac:dyDescent="0.2">
      <c r="A19" s="1">
        <v>2018</v>
      </c>
      <c r="B19" s="1">
        <v>6</v>
      </c>
      <c r="C19" s="9">
        <v>43252</v>
      </c>
      <c r="D19" s="16">
        <f>SUMIFS('Weekly Incidence'!E:E, 'Weekly Incidence'!A:A, $A19, 'Weekly Incidence'!C:C, $B19)</f>
        <v>769</v>
      </c>
      <c r="E19" s="16">
        <v>1790000</v>
      </c>
      <c r="F19" s="20">
        <f t="shared" si="0"/>
        <v>42.960893854748605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101.1</v>
      </c>
      <c r="J19" s="1">
        <f>AVERAGEIFS('Daily Weather Data'!I:I,'Daily Weather Data'!D:D,A19,'Daily Weather Data'!C:C,B19)</f>
        <v>7.8239999999999998</v>
      </c>
      <c r="K19" s="1">
        <f>SUMIFS('Daily Weather Data'!I:I,'Daily Weather Data'!D:D,A19,'Daily Weather Data'!C:C,B19)</f>
        <v>195.6</v>
      </c>
      <c r="L19" s="1">
        <f>AVERAGEIFS('Daily Weather Data'!L:L,'Daily Weather Data'!D:D,A19,'Daily Weather Data'!C:C,B19)</f>
        <v>28.343333333333323</v>
      </c>
      <c r="M19" s="1">
        <f>_xlfn.MINIFS('Daily Weather Data'!K:K,'Daily Weather Data'!D:D,A19,'Daily Weather Data'!C:C,B19)</f>
        <v>22.9</v>
      </c>
      <c r="N19" s="1">
        <f>_xlfn.MAXIFS('Daily Weather Data'!J:J,'Daily Weather Data'!D:D,A19,'Daily Weather Data'!C:C,B19)</f>
        <v>32</v>
      </c>
      <c r="O19" s="1">
        <f>_xlfn.MINIFS('Daily Weather Data'!L:L,'Daily Weather Data'!D:D,A19,'Daily Weather Data'!C:C,B19)</f>
        <v>24.4</v>
      </c>
      <c r="P19" s="1">
        <f>_xlfn.MAXIFS('Daily Weather Data'!L:L,'Daily Weather Data'!D:D,A19,'Daily Weather Data'!C:C,B19)</f>
        <v>30.8</v>
      </c>
      <c r="Q19" s="1">
        <f>SUMIFS('Daily Weather Data'!M:M,'Daily Weather Data'!D:D,A19,'Daily Weather Data'!C:C,B19)</f>
        <v>9</v>
      </c>
    </row>
    <row r="20" spans="1:17" x14ac:dyDescent="0.2">
      <c r="A20" s="1">
        <v>2018</v>
      </c>
      <c r="B20" s="1">
        <v>7</v>
      </c>
      <c r="C20" s="9">
        <v>43282</v>
      </c>
      <c r="D20" s="16">
        <f>SUMIFS('Weekly Incidence'!E:E, 'Weekly Incidence'!A:A, $A20, 'Weekly Incidence'!C:C, $B20)</f>
        <v>901</v>
      </c>
      <c r="E20" s="16">
        <v>1790000</v>
      </c>
      <c r="F20" s="20">
        <f t="shared" si="0"/>
        <v>50.335195530726253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50.3</v>
      </c>
      <c r="J20" s="1">
        <f>AVERAGEIFS('Daily Weather Data'!I:I,'Daily Weather Data'!D:D,A20,'Daily Weather Data'!C:C,B20)</f>
        <v>3.8766666666666665</v>
      </c>
      <c r="K20" s="1">
        <f>SUMIFS('Daily Weather Data'!I:I,'Daily Weather Data'!D:D,A20,'Daily Weather Data'!C:C,B20)</f>
        <v>116.3</v>
      </c>
      <c r="L20" s="1">
        <f>AVERAGEIFS('Daily Weather Data'!L:L,'Daily Weather Data'!D:D,A20,'Daily Weather Data'!C:C,B20)</f>
        <v>28.287096774193547</v>
      </c>
      <c r="M20" s="1">
        <f>_xlfn.MINIFS('Daily Weather Data'!K:K,'Daily Weather Data'!D:D,A20,'Daily Weather Data'!C:C,B20)</f>
        <v>21.3</v>
      </c>
      <c r="N20" s="1">
        <f>_xlfn.MAXIFS('Daily Weather Data'!J:J,'Daily Weather Data'!D:D,A20,'Daily Weather Data'!C:C,B20)</f>
        <v>33</v>
      </c>
      <c r="O20" s="1">
        <f>_xlfn.MINIFS('Daily Weather Data'!L:L,'Daily Weather Data'!D:D,A20,'Daily Weather Data'!C:C,B20)</f>
        <v>25.4</v>
      </c>
      <c r="P20" s="1">
        <f>_xlfn.MAXIFS('Daily Weather Data'!L:L,'Daily Weather Data'!D:D,A20,'Daily Weather Data'!C:C,B20)</f>
        <v>29.7</v>
      </c>
      <c r="Q20" s="1">
        <f>SUMIFS('Daily Weather Data'!M:M,'Daily Weather Data'!D:D,A20,'Daily Weather Data'!C:C,B20)</f>
        <v>9</v>
      </c>
    </row>
    <row r="21" spans="1:17" x14ac:dyDescent="0.2">
      <c r="A21" s="1">
        <v>2018</v>
      </c>
      <c r="B21" s="1">
        <v>8</v>
      </c>
      <c r="C21" s="9">
        <v>43313</v>
      </c>
      <c r="D21" s="16">
        <f>SUMIFS('Weekly Incidence'!E:E, 'Weekly Incidence'!A:A, $A21, 'Weekly Incidence'!C:C, $B21)</f>
        <v>779</v>
      </c>
      <c r="E21" s="16">
        <v>1790000</v>
      </c>
      <c r="F21" s="20">
        <f t="shared" si="0"/>
        <v>43.519553072625698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39.4</v>
      </c>
      <c r="J21" s="1">
        <f>AVERAGEIFS('Daily Weather Data'!I:I,'Daily Weather Data'!D:D,A21,'Daily Weather Data'!C:C,B21)</f>
        <v>3.3258064516129031</v>
      </c>
      <c r="K21" s="1">
        <f>SUMIFS('Daily Weather Data'!I:I,'Daily Weather Data'!D:D,A21,'Daily Weather Data'!C:C,B21)</f>
        <v>103.1</v>
      </c>
      <c r="L21" s="1">
        <f>AVERAGEIFS('Daily Weather Data'!L:L,'Daily Weather Data'!D:D,A21,'Daily Weather Data'!C:C,B21)</f>
        <v>28.806451612903221</v>
      </c>
      <c r="M21" s="1">
        <f>_xlfn.MINIFS('Daily Weather Data'!K:K,'Daily Weather Data'!D:D,A21,'Daily Weather Data'!C:C,B21)</f>
        <v>22.2</v>
      </c>
      <c r="N21" s="1">
        <f>_xlfn.MAXIFS('Daily Weather Data'!J:J,'Daily Weather Data'!D:D,A21,'Daily Weather Data'!C:C,B21)</f>
        <v>0</v>
      </c>
      <c r="O21" s="1">
        <f>_xlfn.MINIFS('Daily Weather Data'!L:L,'Daily Weather Data'!D:D,A21,'Daily Weather Data'!C:C,B21)</f>
        <v>25.9</v>
      </c>
      <c r="P21" s="1">
        <f>_xlfn.MAXIFS('Daily Weather Data'!L:L,'Daily Weather Data'!D:D,A21,'Daily Weather Data'!C:C,B21)</f>
        <v>30.7</v>
      </c>
      <c r="Q21" s="1">
        <f>SUMIFS('Daily Weather Data'!M:M,'Daily Weather Data'!D:D,A21,'Daily Weather Data'!C:C,B21)</f>
        <v>12</v>
      </c>
    </row>
    <row r="22" spans="1:17" x14ac:dyDescent="0.2">
      <c r="A22" s="1">
        <v>2018</v>
      </c>
      <c r="B22" s="1">
        <v>9</v>
      </c>
      <c r="C22" s="9">
        <v>43344</v>
      </c>
      <c r="D22" s="16">
        <f>SUMIFS('Weekly Incidence'!E:E, 'Weekly Incidence'!A:A, $A22, 'Weekly Incidence'!C:C, $B22)</f>
        <v>654</v>
      </c>
      <c r="E22" s="16">
        <v>1790000</v>
      </c>
      <c r="F22" s="20">
        <f t="shared" si="0"/>
        <v>36.536312849162016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86.1</v>
      </c>
      <c r="J22" s="1">
        <f>AVERAGEIFS('Daily Weather Data'!I:I,'Daily Weather Data'!D:D,A22,'Daily Weather Data'!C:C,B22)</f>
        <v>12.062962962962963</v>
      </c>
      <c r="K22" s="1">
        <f>SUMIFS('Daily Weather Data'!I:I,'Daily Weather Data'!D:D,A22,'Daily Weather Data'!C:C,B22)</f>
        <v>325.7</v>
      </c>
      <c r="L22" s="1">
        <f>AVERAGEIFS('Daily Weather Data'!L:L,'Daily Weather Data'!D:D,A22,'Daily Weather Data'!C:C,B22)</f>
        <v>27.103448275862071</v>
      </c>
      <c r="M22" s="1">
        <f>_xlfn.MINIFS('Daily Weather Data'!K:K,'Daily Weather Data'!D:D,A22,'Daily Weather Data'!C:C,B22)</f>
        <v>21.9</v>
      </c>
      <c r="N22" s="1">
        <f>_xlfn.MAXIFS('Daily Weather Data'!J:J,'Daily Weather Data'!D:D,A22,'Daily Weather Data'!C:C,B22)</f>
        <v>32.200000000000003</v>
      </c>
      <c r="O22" s="1">
        <f>_xlfn.MINIFS('Daily Weather Data'!L:L,'Daily Weather Data'!D:D,A22,'Daily Weather Data'!C:C,B22)</f>
        <v>25.3</v>
      </c>
      <c r="P22" s="1">
        <f>_xlfn.MAXIFS('Daily Weather Data'!L:L,'Daily Weather Data'!D:D,A22,'Daily Weather Data'!C:C,B22)</f>
        <v>29.3</v>
      </c>
      <c r="Q22" s="1">
        <f>SUMIFS('Daily Weather Data'!M:M,'Daily Weather Data'!D:D,A22,'Daily Weather Data'!C:C,B22)</f>
        <v>17</v>
      </c>
    </row>
    <row r="23" spans="1:17" x14ac:dyDescent="0.2">
      <c r="A23" s="1">
        <v>2018</v>
      </c>
      <c r="B23" s="1">
        <v>10</v>
      </c>
      <c r="C23" s="9">
        <v>43374</v>
      </c>
      <c r="D23" s="16">
        <f>SUMIFS('Weekly Incidence'!E:E, 'Weekly Incidence'!A:A, $A23, 'Weekly Incidence'!C:C, $B23)</f>
        <v>315</v>
      </c>
      <c r="E23" s="16">
        <v>1790000</v>
      </c>
      <c r="F23" s="20">
        <f t="shared" si="0"/>
        <v>17.597765363128492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95.8</v>
      </c>
      <c r="J23" s="1">
        <f>AVERAGEIFS('Daily Weather Data'!I:I,'Daily Weather Data'!D:D,A23,'Daily Weather Data'!C:C,B23)</f>
        <v>14.893548387096773</v>
      </c>
      <c r="K23" s="1">
        <f>SUMIFS('Daily Weather Data'!I:I,'Daily Weather Data'!D:D,A23,'Daily Weather Data'!C:C,B23)</f>
        <v>461.7</v>
      </c>
      <c r="L23" s="1">
        <f>AVERAGEIFS('Daily Weather Data'!L:L,'Daily Weather Data'!D:D,A23,'Daily Weather Data'!C:C,B23)</f>
        <v>27.022580645161277</v>
      </c>
      <c r="M23" s="1">
        <f>_xlfn.MINIFS('Daily Weather Data'!K:K,'Daily Weather Data'!D:D,A23,'Daily Weather Data'!C:C,B23)</f>
        <v>22.7</v>
      </c>
      <c r="N23" s="1">
        <f>_xlfn.MAXIFS('Daily Weather Data'!J:J,'Daily Weather Data'!D:D,A23,'Daily Weather Data'!C:C,B23)</f>
        <v>32.700000000000003</v>
      </c>
      <c r="O23" s="1">
        <f>_xlfn.MINIFS('Daily Weather Data'!L:L,'Daily Weather Data'!D:D,A23,'Daily Weather Data'!C:C,B23)</f>
        <v>25.2</v>
      </c>
      <c r="P23" s="1">
        <f>_xlfn.MAXIFS('Daily Weather Data'!L:L,'Daily Weather Data'!D:D,A23,'Daily Weather Data'!C:C,B23)</f>
        <v>29.2</v>
      </c>
      <c r="Q23" s="1">
        <f>SUMIFS('Daily Weather Data'!M:M,'Daily Weather Data'!D:D,A23,'Daily Weather Data'!C:C,B23)</f>
        <v>26</v>
      </c>
    </row>
    <row r="24" spans="1:17" x14ac:dyDescent="0.2">
      <c r="A24" s="1">
        <v>2018</v>
      </c>
      <c r="B24" s="1">
        <v>11</v>
      </c>
      <c r="C24" s="9">
        <v>43405</v>
      </c>
      <c r="D24" s="16">
        <f>SUMIFS('Weekly Incidence'!E:E, 'Weekly Incidence'!A:A, $A24, 'Weekly Incidence'!C:C, $B24)</f>
        <v>591</v>
      </c>
      <c r="E24" s="16">
        <v>1790000</v>
      </c>
      <c r="F24" s="20">
        <f t="shared" si="0"/>
        <v>33.016759776536311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60.2</v>
      </c>
      <c r="J24" s="1">
        <f>AVERAGEIFS('Daily Weather Data'!I:I,'Daily Weather Data'!D:D,A24,'Daily Weather Data'!C:C,B24)</f>
        <v>14.306666666666668</v>
      </c>
      <c r="K24" s="1">
        <f>SUMIFS('Daily Weather Data'!I:I,'Daily Weather Data'!D:D,A24,'Daily Weather Data'!C:C,B24)</f>
        <v>429.20000000000005</v>
      </c>
      <c r="L24" s="1">
        <f>AVERAGEIFS('Daily Weather Data'!L:L,'Daily Weather Data'!D:D,A24,'Daily Weather Data'!C:C,B24)</f>
        <v>27.620000000000005</v>
      </c>
      <c r="M24" s="1">
        <f>_xlfn.MINIFS('Daily Weather Data'!K:K,'Daily Weather Data'!D:D,A24,'Daily Weather Data'!C:C,B24)</f>
        <v>22.8</v>
      </c>
      <c r="N24" s="1">
        <f>_xlfn.MAXIFS('Daily Weather Data'!J:J,'Daily Weather Data'!D:D,A24,'Daily Weather Data'!C:C,B24)</f>
        <v>0</v>
      </c>
      <c r="O24" s="1">
        <f>_xlfn.MINIFS('Daily Weather Data'!L:L,'Daily Weather Data'!D:D,A24,'Daily Weather Data'!C:C,B24)</f>
        <v>25.9</v>
      </c>
      <c r="P24" s="1">
        <f>_xlfn.MAXIFS('Daily Weather Data'!L:L,'Daily Weather Data'!D:D,A24,'Daily Weather Data'!C:C,B24)</f>
        <v>29.2</v>
      </c>
      <c r="Q24" s="1">
        <f>SUMIFS('Daily Weather Data'!M:M,'Daily Weather Data'!D:D,A24,'Daily Weather Data'!C:C,B24)</f>
        <v>23</v>
      </c>
    </row>
    <row r="25" spans="1:17" x14ac:dyDescent="0.2">
      <c r="A25" s="1">
        <v>2018</v>
      </c>
      <c r="B25" s="1">
        <v>12</v>
      </c>
      <c r="C25" s="9">
        <v>43435</v>
      </c>
      <c r="D25" s="16">
        <f>SUMIFS('Weekly Incidence'!E:E, 'Weekly Incidence'!A:A, $A25, 'Weekly Incidence'!C:C, $B25)</f>
        <v>860</v>
      </c>
      <c r="E25" s="16">
        <v>1790000</v>
      </c>
      <c r="F25" s="20">
        <f t="shared" si="0"/>
        <v>48.044692737430168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39.1</v>
      </c>
      <c r="J25" s="1">
        <f>AVERAGEIFS('Daily Weather Data'!I:I,'Daily Weather Data'!D:D,A25,'Daily Weather Data'!C:C,B25)</f>
        <v>7.0645161290322589</v>
      </c>
      <c r="K25" s="1">
        <f>SUMIFS('Daily Weather Data'!I:I,'Daily Weather Data'!D:D,A25,'Daily Weather Data'!C:C,B25)</f>
        <v>219.00000000000003</v>
      </c>
      <c r="L25" s="1">
        <f>AVERAGEIFS('Daily Weather Data'!L:L,'Daily Weather Data'!D:D,A25,'Daily Weather Data'!C:C,B25)</f>
        <v>27.551612903225806</v>
      </c>
      <c r="M25" s="1">
        <f>_xlfn.MINIFS('Daily Weather Data'!K:K,'Daily Weather Data'!D:D,A25,'Daily Weather Data'!C:C,B25)</f>
        <v>23.4</v>
      </c>
      <c r="N25" s="1">
        <f>_xlfn.MAXIFS('Daily Weather Data'!J:J,'Daily Weather Data'!D:D,A25,'Daily Weather Data'!C:C,B25)</f>
        <v>0</v>
      </c>
      <c r="O25" s="1">
        <f>_xlfn.MINIFS('Daily Weather Data'!L:L,'Daily Weather Data'!D:D,A25,'Daily Weather Data'!C:C,B25)</f>
        <v>25.6</v>
      </c>
      <c r="P25" s="1">
        <f>_xlfn.MAXIFS('Daily Weather Data'!L:L,'Daily Weather Data'!D:D,A25,'Daily Weather Data'!C:C,B25)</f>
        <v>29.5</v>
      </c>
      <c r="Q25" s="1">
        <f>SUMIFS('Daily Weather Data'!M:M,'Daily Weather Data'!D:D,A25,'Daily Weather Data'!C:C,B25)</f>
        <v>22</v>
      </c>
    </row>
    <row r="26" spans="1:17" x14ac:dyDescent="0.2">
      <c r="A26" s="1">
        <v>2019</v>
      </c>
      <c r="B26" s="1">
        <v>1</v>
      </c>
      <c r="C26" s="9">
        <v>43466</v>
      </c>
      <c r="D26" s="16">
        <f>SUMIFS('Weekly Incidence'!E:E, 'Weekly Incidence'!A:A, $A26, 'Weekly Incidence'!C:C, $B26)</f>
        <v>1323</v>
      </c>
      <c r="E26" s="16">
        <v>1780000</v>
      </c>
      <c r="F26" s="20">
        <f t="shared" si="0"/>
        <v>74.325842696629223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46.5</v>
      </c>
      <c r="J26" s="1">
        <f>AVERAGEIFS('Daily Weather Data'!I:I,'Daily Weather Data'!D:D,A26,'Daily Weather Data'!C:C,B26)</f>
        <v>7.9129032258064509</v>
      </c>
      <c r="K26" s="1">
        <f>SUMIFS('Daily Weather Data'!I:I,'Daily Weather Data'!D:D,A26,'Daily Weather Data'!C:C,B26)</f>
        <v>245.29999999999998</v>
      </c>
      <c r="L26" s="1">
        <f>AVERAGEIFS('Daily Weather Data'!L:L,'Daily Weather Data'!D:D,A26,'Daily Weather Data'!C:C,B26)</f>
        <v>28.277419354838717</v>
      </c>
      <c r="M26" s="1">
        <f>_xlfn.MINIFS('Daily Weather Data'!K:K,'Daily Weather Data'!D:D,A26,'Daily Weather Data'!C:C,B26)</f>
        <v>22.9</v>
      </c>
      <c r="N26" s="1">
        <f>_xlfn.MAXIFS('Daily Weather Data'!J:J,'Daily Weather Data'!D:D,A26,'Daily Weather Data'!C:C,B26)</f>
        <v>0</v>
      </c>
      <c r="O26" s="1">
        <f>_xlfn.MINIFS('Daily Weather Data'!L:L,'Daily Weather Data'!D:D,A26,'Daily Weather Data'!C:C,B26)</f>
        <v>26.7</v>
      </c>
      <c r="P26" s="1">
        <f>_xlfn.MAXIFS('Daily Weather Data'!L:L,'Daily Weather Data'!D:D,A26,'Daily Weather Data'!C:C,B26)</f>
        <v>29.6</v>
      </c>
      <c r="Q26" s="1">
        <f>SUMIFS('Daily Weather Data'!M:M,'Daily Weather Data'!D:D,A26,'Daily Weather Data'!C:C,B26)</f>
        <v>18</v>
      </c>
    </row>
    <row r="27" spans="1:17" x14ac:dyDescent="0.2">
      <c r="A27" s="1">
        <v>2019</v>
      </c>
      <c r="B27" s="1">
        <v>2</v>
      </c>
      <c r="C27" s="9">
        <v>43497</v>
      </c>
      <c r="D27" s="16">
        <f>SUMIFS('Weekly Incidence'!E:E, 'Weekly Incidence'!A:A, $A27, 'Weekly Incidence'!C:C, $B27)</f>
        <v>974</v>
      </c>
      <c r="E27" s="16">
        <v>1780000</v>
      </c>
      <c r="F27" s="20">
        <f t="shared" si="0"/>
        <v>54.7191011235955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54.1</v>
      </c>
      <c r="J27" s="1">
        <f>AVERAGEIFS('Daily Weather Data'!I:I,'Daily Weather Data'!D:D,A27,'Daily Weather Data'!C:C,B27)</f>
        <v>6.4964285714285719</v>
      </c>
      <c r="K27" s="1">
        <f>SUMIFS('Daily Weather Data'!I:I,'Daily Weather Data'!D:D,A27,'Daily Weather Data'!C:C,B27)</f>
        <v>181.9</v>
      </c>
      <c r="L27" s="1">
        <f>AVERAGEIFS('Daily Weather Data'!L:L,'Daily Weather Data'!D:D,A27,'Daily Weather Data'!C:C,B27)</f>
        <v>28.678571428571434</v>
      </c>
      <c r="M27" s="1">
        <f>_xlfn.MINIFS('Daily Weather Data'!K:K,'Daily Weather Data'!D:D,A27,'Daily Weather Data'!C:C,B27)</f>
        <v>22.6</v>
      </c>
      <c r="N27" s="1">
        <f>_xlfn.MAXIFS('Daily Weather Data'!J:J,'Daily Weather Data'!D:D,A27,'Daily Weather Data'!C:C,B27)</f>
        <v>35.1</v>
      </c>
      <c r="O27" s="1">
        <f>_xlfn.MINIFS('Daily Weather Data'!L:L,'Daily Weather Data'!D:D,A27,'Daily Weather Data'!C:C,B27)</f>
        <v>26.8</v>
      </c>
      <c r="P27" s="1">
        <f>_xlfn.MAXIFS('Daily Weather Data'!L:L,'Daily Weather Data'!D:D,A27,'Daily Weather Data'!C:C,B27)</f>
        <v>30</v>
      </c>
      <c r="Q27" s="1">
        <f>SUMIFS('Daily Weather Data'!M:M,'Daily Weather Data'!D:D,A27,'Daily Weather Data'!C:C,B27)</f>
        <v>12</v>
      </c>
    </row>
    <row r="28" spans="1:17" x14ac:dyDescent="0.2">
      <c r="A28" s="1">
        <v>2019</v>
      </c>
      <c r="B28" s="1">
        <v>3</v>
      </c>
      <c r="C28" s="9">
        <v>43525</v>
      </c>
      <c r="D28" s="16">
        <f>SUMIFS('Weekly Incidence'!E:E, 'Weekly Incidence'!A:A, $A28, 'Weekly Incidence'!C:C, $B28)</f>
        <v>904</v>
      </c>
      <c r="E28" s="16">
        <v>1780000</v>
      </c>
      <c r="F28" s="20">
        <f t="shared" si="0"/>
        <v>50.786516853932589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47</v>
      </c>
      <c r="J28" s="1">
        <f>AVERAGEIFS('Daily Weather Data'!I:I,'Daily Weather Data'!D:D,A28,'Daily Weather Data'!C:C,B28)</f>
        <v>5.4741935483870972</v>
      </c>
      <c r="K28" s="1">
        <f>SUMIFS('Daily Weather Data'!I:I,'Daily Weather Data'!D:D,A28,'Daily Weather Data'!C:C,B28)</f>
        <v>169.70000000000002</v>
      </c>
      <c r="L28" s="1">
        <f>AVERAGEIFS('Daily Weather Data'!L:L,'Daily Weather Data'!D:D,A28,'Daily Weather Data'!C:C,B28)</f>
        <v>29.122580645161289</v>
      </c>
      <c r="M28" s="1">
        <f>_xlfn.MINIFS('Daily Weather Data'!K:K,'Daily Weather Data'!D:D,A28,'Daily Weather Data'!C:C,B28)</f>
        <v>22</v>
      </c>
      <c r="N28" s="1">
        <f>_xlfn.MAXIFS('Daily Weather Data'!J:J,'Daily Weather Data'!D:D,A28,'Daily Weather Data'!C:C,B28)</f>
        <v>36.6</v>
      </c>
      <c r="O28" s="1">
        <f>_xlfn.MINIFS('Daily Weather Data'!L:L,'Daily Weather Data'!D:D,A28,'Daily Weather Data'!C:C,B28)</f>
        <v>26.7</v>
      </c>
      <c r="P28" s="1">
        <f>_xlfn.MAXIFS('Daily Weather Data'!L:L,'Daily Weather Data'!D:D,A28,'Daily Weather Data'!C:C,B28)</f>
        <v>31.1</v>
      </c>
      <c r="Q28" s="1">
        <f>SUMIFS('Daily Weather Data'!M:M,'Daily Weather Data'!D:D,A28,'Daily Weather Data'!C:C,B28)</f>
        <v>15</v>
      </c>
    </row>
    <row r="29" spans="1:17" x14ac:dyDescent="0.2">
      <c r="A29" s="1">
        <v>2019</v>
      </c>
      <c r="B29" s="1">
        <v>4</v>
      </c>
      <c r="C29" s="9">
        <v>43556</v>
      </c>
      <c r="D29" s="16">
        <f>SUMIFS('Weekly Incidence'!E:E, 'Weekly Incidence'!A:A, $A29, 'Weekly Incidence'!C:C, $B29)</f>
        <v>1059</v>
      </c>
      <c r="E29" s="16">
        <v>1780000</v>
      </c>
      <c r="F29" s="20">
        <f t="shared" si="0"/>
        <v>59.49438202247191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50.5</v>
      </c>
      <c r="J29" s="1">
        <f>AVERAGEIFS('Daily Weather Data'!I:I,'Daily Weather Data'!D:D,A29,'Daily Weather Data'!C:C,B29)</f>
        <v>11.743333333333334</v>
      </c>
      <c r="K29" s="1">
        <f>SUMIFS('Daily Weather Data'!I:I,'Daily Weather Data'!D:D,A29,'Daily Weather Data'!C:C,B29)</f>
        <v>352.3</v>
      </c>
      <c r="L29" s="1">
        <f>AVERAGEIFS('Daily Weather Data'!L:L,'Daily Weather Data'!D:D,A29,'Daily Weather Data'!C:C,B29)</f>
        <v>28.773333333333326</v>
      </c>
      <c r="M29" s="1">
        <f>_xlfn.MINIFS('Daily Weather Data'!K:K,'Daily Weather Data'!D:D,A29,'Daily Weather Data'!C:C,B29)</f>
        <v>23.7</v>
      </c>
      <c r="N29" s="1">
        <f>_xlfn.MAXIFS('Daily Weather Data'!J:J,'Daily Weather Data'!D:D,A29,'Daily Weather Data'!C:C,B29)</f>
        <v>36.299999999999997</v>
      </c>
      <c r="O29" s="1">
        <f>_xlfn.MINIFS('Daily Weather Data'!L:L,'Daily Weather Data'!D:D,A29,'Daily Weather Data'!C:C,B29)</f>
        <v>26.5</v>
      </c>
      <c r="P29" s="1">
        <f>_xlfn.MAXIFS('Daily Weather Data'!L:L,'Daily Weather Data'!D:D,A29,'Daily Weather Data'!C:C,B29)</f>
        <v>30.7</v>
      </c>
      <c r="Q29" s="1">
        <f>SUMIFS('Daily Weather Data'!M:M,'Daily Weather Data'!D:D,A29,'Daily Weather Data'!C:C,B29)</f>
        <v>18</v>
      </c>
    </row>
    <row r="30" spans="1:17" x14ac:dyDescent="0.2">
      <c r="A30" s="1">
        <v>2019</v>
      </c>
      <c r="B30" s="1">
        <v>5</v>
      </c>
      <c r="C30" s="9">
        <v>43586</v>
      </c>
      <c r="D30" s="16">
        <f>SUMIFS('Weekly Incidence'!E:E, 'Weekly Incidence'!A:A, $A30, 'Weekly Incidence'!C:C, $B30)</f>
        <v>976</v>
      </c>
      <c r="E30" s="16">
        <v>1780000</v>
      </c>
      <c r="F30" s="20">
        <f t="shared" si="0"/>
        <v>54.831460674157306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55.6</v>
      </c>
      <c r="J30" s="1">
        <f>AVERAGEIFS('Daily Weather Data'!I:I,'Daily Weather Data'!D:D,A30,'Daily Weather Data'!C:C,B30)</f>
        <v>7.967741935483871</v>
      </c>
      <c r="K30" s="1">
        <f>SUMIFS('Daily Weather Data'!I:I,'Daily Weather Data'!D:D,A30,'Daily Weather Data'!C:C,B30)</f>
        <v>247</v>
      </c>
      <c r="L30" s="1">
        <f>AVERAGEIFS('Daily Weather Data'!L:L,'Daily Weather Data'!D:D,A30,'Daily Weather Data'!C:C,B30)</f>
        <v>28.987096774193542</v>
      </c>
      <c r="M30" s="1">
        <f>_xlfn.MINIFS('Daily Weather Data'!K:K,'Daily Weather Data'!D:D,A30,'Daily Weather Data'!C:C,B30)</f>
        <v>23.5</v>
      </c>
      <c r="N30" s="1">
        <f>_xlfn.MAXIFS('Daily Weather Data'!J:J,'Daily Weather Data'!D:D,A30,'Daily Weather Data'!C:C,B30)</f>
        <v>36.1</v>
      </c>
      <c r="O30" s="1">
        <f>_xlfn.MINIFS('Daily Weather Data'!L:L,'Daily Weather Data'!D:D,A30,'Daily Weather Data'!C:C,B30)</f>
        <v>25.9</v>
      </c>
      <c r="P30" s="1">
        <f>_xlfn.MAXIFS('Daily Weather Data'!L:L,'Daily Weather Data'!D:D,A30,'Daily Weather Data'!C:C,B30)</f>
        <v>30.7</v>
      </c>
      <c r="Q30" s="1">
        <f>SUMIFS('Daily Weather Data'!M:M,'Daily Weather Data'!D:D,A30,'Daily Weather Data'!C:C,B30)</f>
        <v>13</v>
      </c>
    </row>
    <row r="31" spans="1:17" x14ac:dyDescent="0.2">
      <c r="A31" s="1">
        <v>2019</v>
      </c>
      <c r="B31" s="1">
        <v>6</v>
      </c>
      <c r="C31" s="9">
        <v>43617</v>
      </c>
      <c r="D31" s="16">
        <f>SUMIFS('Weekly Incidence'!E:E, 'Weekly Incidence'!A:A, $A31, 'Weekly Incidence'!C:C, $B31)</f>
        <v>1625</v>
      </c>
      <c r="E31" s="16">
        <v>1780000</v>
      </c>
      <c r="F31" s="20">
        <f t="shared" si="0"/>
        <v>91.292134831460672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51.3</v>
      </c>
      <c r="J31" s="1">
        <f>AVERAGEIFS('Daily Weather Data'!I:I,'Daily Weather Data'!D:D,A31,'Daily Weather Data'!C:C,B31)</f>
        <v>7.73</v>
      </c>
      <c r="K31" s="1">
        <f>SUMIFS('Daily Weather Data'!I:I,'Daily Weather Data'!D:D,A31,'Daily Weather Data'!C:C,B31)</f>
        <v>231.9</v>
      </c>
      <c r="L31" s="1">
        <f>AVERAGEIFS('Daily Weather Data'!L:L,'Daily Weather Data'!D:D,A31,'Daily Weather Data'!C:C,B31)</f>
        <v>28.500000000000004</v>
      </c>
      <c r="M31" s="1">
        <f>_xlfn.MINIFS('Daily Weather Data'!K:K,'Daily Weather Data'!D:D,A31,'Daily Weather Data'!C:C,B31)</f>
        <v>22.6</v>
      </c>
      <c r="N31" s="1">
        <f>_xlfn.MAXIFS('Daily Weather Data'!J:J,'Daily Weather Data'!D:D,A31,'Daily Weather Data'!C:C,B31)</f>
        <v>34.5</v>
      </c>
      <c r="O31" s="1">
        <f>_xlfn.MINIFS('Daily Weather Data'!L:L,'Daily Weather Data'!D:D,A31,'Daily Weather Data'!C:C,B31)</f>
        <v>25.8</v>
      </c>
      <c r="P31" s="1">
        <f>_xlfn.MAXIFS('Daily Weather Data'!L:L,'Daily Weather Data'!D:D,A31,'Daily Weather Data'!C:C,B31)</f>
        <v>30.2</v>
      </c>
      <c r="Q31" s="1">
        <f>SUMIFS('Daily Weather Data'!M:M,'Daily Weather Data'!D:D,A31,'Daily Weather Data'!C:C,B31)</f>
        <v>17</v>
      </c>
    </row>
    <row r="32" spans="1:17" x14ac:dyDescent="0.2">
      <c r="A32" s="1">
        <v>2019</v>
      </c>
      <c r="B32" s="1">
        <v>7</v>
      </c>
      <c r="C32" s="9">
        <v>43647</v>
      </c>
      <c r="D32" s="16">
        <f>SUMIFS('Weekly Incidence'!E:E, 'Weekly Incidence'!A:A, $A32, 'Weekly Incidence'!C:C, $B32)</f>
        <v>2516</v>
      </c>
      <c r="E32" s="16">
        <v>1780000</v>
      </c>
      <c r="F32" s="20">
        <f t="shared" si="0"/>
        <v>141.34831460674155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71.900000000000006</v>
      </c>
      <c r="J32" s="1">
        <f>AVERAGEIFS('Daily Weather Data'!I:I,'Daily Weather Data'!D:D,A32,'Daily Weather Data'!C:C,B32)</f>
        <v>4.9419354838709681</v>
      </c>
      <c r="K32" s="1">
        <f>SUMIFS('Daily Weather Data'!I:I,'Daily Weather Data'!D:D,A32,'Daily Weather Data'!C:C,B32)</f>
        <v>153.20000000000002</v>
      </c>
      <c r="L32" s="1">
        <f>AVERAGEIFS('Daily Weather Data'!L:L,'Daily Weather Data'!D:D,A32,'Daily Weather Data'!C:C,B32)</f>
        <v>28.490322580645163</v>
      </c>
      <c r="M32" s="1">
        <f>_xlfn.MINIFS('Daily Weather Data'!K:K,'Daily Weather Data'!D:D,A32,'Daily Weather Data'!C:C,B32)</f>
        <v>23.5</v>
      </c>
      <c r="N32" s="1">
        <f>_xlfn.MAXIFS('Daily Weather Data'!J:J,'Daily Weather Data'!D:D,A32,'Daily Weather Data'!C:C,B32)</f>
        <v>34.799999999999997</v>
      </c>
      <c r="O32" s="1">
        <f>_xlfn.MINIFS('Daily Weather Data'!L:L,'Daily Weather Data'!D:D,A32,'Daily Weather Data'!C:C,B32)</f>
        <v>26.2</v>
      </c>
      <c r="P32" s="1">
        <f>_xlfn.MAXIFS('Daily Weather Data'!L:L,'Daily Weather Data'!D:D,A32,'Daily Weather Data'!C:C,B32)</f>
        <v>30</v>
      </c>
      <c r="Q32" s="1">
        <f>SUMIFS('Daily Weather Data'!M:M,'Daily Weather Data'!D:D,A32,'Daily Weather Data'!C:C,B32)</f>
        <v>10</v>
      </c>
    </row>
    <row r="33" spans="1:17" x14ac:dyDescent="0.2">
      <c r="A33" s="1">
        <v>2019</v>
      </c>
      <c r="B33" s="1">
        <v>8</v>
      </c>
      <c r="C33" s="9">
        <v>43678</v>
      </c>
      <c r="D33" s="16">
        <f>SUMIFS('Weekly Incidence'!E:E, 'Weekly Incidence'!A:A, $A33, 'Weekly Incidence'!C:C, $B33)</f>
        <v>1565</v>
      </c>
      <c r="E33" s="16">
        <v>1780000</v>
      </c>
      <c r="F33" s="20">
        <f t="shared" si="0"/>
        <v>87.921348314606746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40.9</v>
      </c>
      <c r="J33" s="1">
        <f>AVERAGEIFS('Daily Weather Data'!I:I,'Daily Weather Data'!D:D,A33,'Daily Weather Data'!C:C,B33)</f>
        <v>4.5129032258064514</v>
      </c>
      <c r="K33" s="1">
        <f>SUMIFS('Daily Weather Data'!I:I,'Daily Weather Data'!D:D,A33,'Daily Weather Data'!C:C,B33)</f>
        <v>139.9</v>
      </c>
      <c r="L33" s="1">
        <f>AVERAGEIFS('Daily Weather Data'!L:L,'Daily Weather Data'!D:D,A33,'Daily Weather Data'!C:C,B33)</f>
        <v>28.416129032258063</v>
      </c>
      <c r="M33" s="1">
        <f>_xlfn.MINIFS('Daily Weather Data'!K:K,'Daily Weather Data'!D:D,A33,'Daily Weather Data'!C:C,B33)</f>
        <v>22.6</v>
      </c>
      <c r="N33" s="1">
        <f>_xlfn.MAXIFS('Daily Weather Data'!J:J,'Daily Weather Data'!D:D,A33,'Daily Weather Data'!C:C,B33)</f>
        <v>35.1</v>
      </c>
      <c r="O33" s="1">
        <f>_xlfn.MINIFS('Daily Weather Data'!L:L,'Daily Weather Data'!D:D,A33,'Daily Weather Data'!C:C,B33)</f>
        <v>26.3</v>
      </c>
      <c r="P33" s="1">
        <f>_xlfn.MAXIFS('Daily Weather Data'!L:L,'Daily Weather Data'!D:D,A33,'Daily Weather Data'!C:C,B33)</f>
        <v>30.2</v>
      </c>
      <c r="Q33" s="1">
        <f>SUMIFS('Daily Weather Data'!M:M,'Daily Weather Data'!D:D,A33,'Daily Weather Data'!C:C,B33)</f>
        <v>14</v>
      </c>
    </row>
    <row r="34" spans="1:17" x14ac:dyDescent="0.2">
      <c r="A34" s="1">
        <v>2019</v>
      </c>
      <c r="B34" s="1">
        <v>9</v>
      </c>
      <c r="C34" s="9">
        <v>43709</v>
      </c>
      <c r="D34" s="16">
        <f>SUMIFS('Weekly Incidence'!E:E, 'Weekly Incidence'!A:A, $A34, 'Weekly Incidence'!C:C, $B34)</f>
        <v>1216</v>
      </c>
      <c r="E34" s="16">
        <v>1780000</v>
      </c>
      <c r="F34" s="20">
        <f t="shared" si="0"/>
        <v>68.31460674157303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35.1</v>
      </c>
      <c r="J34" s="1">
        <f>AVERAGEIFS('Daily Weather Data'!I:I,'Daily Weather Data'!D:D,A34,'Daily Weather Data'!C:C,B34)</f>
        <v>4.5366666666666662</v>
      </c>
      <c r="K34" s="1">
        <f>SUMIFS('Daily Weather Data'!I:I,'Daily Weather Data'!D:D,A34,'Daily Weather Data'!C:C,B34)</f>
        <v>136.1</v>
      </c>
      <c r="L34" s="1">
        <f>AVERAGEIFS('Daily Weather Data'!L:L,'Daily Weather Data'!D:D,A34,'Daily Weather Data'!C:C,B34)</f>
        <v>28.563333333333329</v>
      </c>
      <c r="M34" s="1">
        <f>_xlfn.MINIFS('Daily Weather Data'!K:K,'Daily Weather Data'!D:D,A34,'Daily Weather Data'!C:C,B34)</f>
        <v>23</v>
      </c>
      <c r="N34" s="1">
        <f>_xlfn.MAXIFS('Daily Weather Data'!J:J,'Daily Weather Data'!D:D,A34,'Daily Weather Data'!C:C,B34)</f>
        <v>35.9</v>
      </c>
      <c r="O34" s="1">
        <f>_xlfn.MINIFS('Daily Weather Data'!L:L,'Daily Weather Data'!D:D,A34,'Daily Weather Data'!C:C,B34)</f>
        <v>26.3</v>
      </c>
      <c r="P34" s="1">
        <f>_xlfn.MAXIFS('Daily Weather Data'!L:L,'Daily Weather Data'!D:D,A34,'Daily Weather Data'!C:C,B34)</f>
        <v>30.3</v>
      </c>
      <c r="Q34" s="1">
        <f>SUMIFS('Daily Weather Data'!M:M,'Daily Weather Data'!D:D,A34,'Daily Weather Data'!C:C,B34)</f>
        <v>10</v>
      </c>
    </row>
    <row r="35" spans="1:17" x14ac:dyDescent="0.2">
      <c r="A35" s="1">
        <v>2019</v>
      </c>
      <c r="B35" s="1">
        <v>10</v>
      </c>
      <c r="C35" s="9">
        <v>43739</v>
      </c>
      <c r="D35" s="16">
        <f>SUMIFS('Weekly Incidence'!E:E, 'Weekly Incidence'!A:A, $A35, 'Weekly Incidence'!C:C, $B35)</f>
        <v>1080</v>
      </c>
      <c r="E35" s="16">
        <v>1780000</v>
      </c>
      <c r="F35" s="20">
        <f t="shared" si="0"/>
        <v>60.674157303370791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82</v>
      </c>
      <c r="J35" s="1">
        <f>AVERAGEIFS('Daily Weather Data'!I:I,'Daily Weather Data'!D:D,A35,'Daily Weather Data'!C:C,B35)</f>
        <v>20.751612903225805</v>
      </c>
      <c r="K35" s="1">
        <f>SUMIFS('Daily Weather Data'!I:I,'Daily Weather Data'!D:D,A35,'Daily Weather Data'!C:C,B35)</f>
        <v>643.29999999999995</v>
      </c>
      <c r="L35" s="1">
        <f>AVERAGEIFS('Daily Weather Data'!L:L,'Daily Weather Data'!D:D,A35,'Daily Weather Data'!C:C,B35)</f>
        <v>27.093548387096778</v>
      </c>
      <c r="M35" s="1">
        <f>_xlfn.MINIFS('Daily Weather Data'!K:K,'Daily Weather Data'!D:D,A35,'Daily Weather Data'!C:C,B35)</f>
        <v>22.9</v>
      </c>
      <c r="N35" s="1">
        <f>_xlfn.MAXIFS('Daily Weather Data'!J:J,'Daily Weather Data'!D:D,A35,'Daily Weather Data'!C:C,B35)</f>
        <v>33.299999999999997</v>
      </c>
      <c r="O35" s="1">
        <f>_xlfn.MINIFS('Daily Weather Data'!L:L,'Daily Weather Data'!D:D,A35,'Daily Weather Data'!C:C,B35)</f>
        <v>26.1</v>
      </c>
      <c r="P35" s="1">
        <f>_xlfn.MAXIFS('Daily Weather Data'!L:L,'Daily Weather Data'!D:D,A35,'Daily Weather Data'!C:C,B35)</f>
        <v>28.2</v>
      </c>
      <c r="Q35" s="1">
        <f>SUMIFS('Daily Weather Data'!M:M,'Daily Weather Data'!D:D,A35,'Daily Weather Data'!C:C,B35)</f>
        <v>27</v>
      </c>
    </row>
    <row r="36" spans="1:17" x14ac:dyDescent="0.2">
      <c r="A36" s="1">
        <v>2019</v>
      </c>
      <c r="B36" s="1">
        <v>11</v>
      </c>
      <c r="C36" s="9">
        <v>43770</v>
      </c>
      <c r="D36" s="16">
        <f>SUMIFS('Weekly Incidence'!E:E, 'Weekly Incidence'!A:A, $A36, 'Weekly Incidence'!C:C, $B36)</f>
        <v>853</v>
      </c>
      <c r="E36" s="16">
        <v>1780000</v>
      </c>
      <c r="F36" s="20">
        <f t="shared" si="0"/>
        <v>47.921348314606739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122.9</v>
      </c>
      <c r="J36" s="1">
        <f>AVERAGEIFS('Daily Weather Data'!I:I,'Daily Weather Data'!D:D,A36,'Daily Weather Data'!C:C,B36)</f>
        <v>15.6</v>
      </c>
      <c r="K36" s="1">
        <f>SUMIFS('Daily Weather Data'!I:I,'Daily Weather Data'!D:D,A36,'Daily Weather Data'!C:C,B36)</f>
        <v>156</v>
      </c>
      <c r="L36" s="1">
        <f>AVERAGEIFS('Daily Weather Data'!L:L,'Daily Weather Data'!D:D,A36,'Daily Weather Data'!C:C,B36)</f>
        <v>27.523333333333337</v>
      </c>
      <c r="M36" s="1">
        <f>_xlfn.MINIFS('Daily Weather Data'!K:K,'Daily Weather Data'!D:D,A36,'Daily Weather Data'!C:C,B36)</f>
        <v>22.5</v>
      </c>
      <c r="N36" s="1">
        <f>_xlfn.MAXIFS('Daily Weather Data'!J:J,'Daily Weather Data'!D:D,A36,'Daily Weather Data'!C:C,B36)</f>
        <v>0</v>
      </c>
      <c r="O36" s="1">
        <f>_xlfn.MINIFS('Daily Weather Data'!L:L,'Daily Weather Data'!D:D,A36,'Daily Weather Data'!C:C,B36)</f>
        <v>25.5</v>
      </c>
      <c r="P36" s="1">
        <f>_xlfn.MAXIFS('Daily Weather Data'!L:L,'Daily Weather Data'!D:D,A36,'Daily Weather Data'!C:C,B36)</f>
        <v>29.1</v>
      </c>
      <c r="Q36" s="1">
        <f>SUMIFS('Daily Weather Data'!M:M,'Daily Weather Data'!D:D,A36,'Daily Weather Data'!C:C,B36)</f>
        <v>7</v>
      </c>
    </row>
    <row r="37" spans="1:17" x14ac:dyDescent="0.2">
      <c r="A37" s="1">
        <v>2019</v>
      </c>
      <c r="B37" s="1">
        <v>12</v>
      </c>
      <c r="C37" s="9">
        <v>43800</v>
      </c>
      <c r="D37" s="16">
        <f>SUMIFS('Weekly Incidence'!E:E, 'Weekly Incidence'!A:A, $A37, 'Weekly Incidence'!C:C, $B37)</f>
        <v>946</v>
      </c>
      <c r="E37" s="16">
        <v>1780000</v>
      </c>
      <c r="F37" s="20">
        <f t="shared" si="0"/>
        <v>53.146067415730343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27.9</v>
      </c>
      <c r="J37" s="1">
        <f>AVERAGEIFS('Daily Weather Data'!I:I,'Daily Weather Data'!D:D,A37,'Daily Weather Data'!C:C,B37)</f>
        <v>4.6333333333333329</v>
      </c>
      <c r="K37" s="1">
        <f>SUMIFS('Daily Weather Data'!I:I,'Daily Weather Data'!D:D,A37,'Daily Weather Data'!C:C,B37)</f>
        <v>41.699999999999996</v>
      </c>
      <c r="L37" s="1">
        <f>AVERAGEIFS('Daily Weather Data'!L:L,'Daily Weather Data'!D:D,A37,'Daily Weather Data'!C:C,B37)</f>
        <v>27.422580645161293</v>
      </c>
      <c r="M37" s="1">
        <f>_xlfn.MINIFS('Daily Weather Data'!K:K,'Daily Weather Data'!D:D,A37,'Daily Weather Data'!C:C,B37)</f>
        <v>23.3</v>
      </c>
      <c r="N37" s="1">
        <f>_xlfn.MAXIFS('Daily Weather Data'!J:J,'Daily Weather Data'!D:D,A37,'Daily Weather Data'!C:C,B37)</f>
        <v>0</v>
      </c>
      <c r="O37" s="1">
        <f>_xlfn.MINIFS('Daily Weather Data'!L:L,'Daily Weather Data'!D:D,A37,'Daily Weather Data'!C:C,B37)</f>
        <v>24.8</v>
      </c>
      <c r="P37" s="1">
        <f>_xlfn.MAXIFS('Daily Weather Data'!L:L,'Daily Weather Data'!D:D,A37,'Daily Weather Data'!C:C,B37)</f>
        <v>29.1</v>
      </c>
      <c r="Q37" s="1">
        <f>SUMIFS('Daily Weather Data'!M:M,'Daily Weather Data'!D:D,A37,'Daily Weather Data'!C:C,B37)</f>
        <v>6</v>
      </c>
    </row>
    <row r="38" spans="1:17" x14ac:dyDescent="0.2">
      <c r="A38" s="1">
        <v>2020</v>
      </c>
      <c r="B38" s="1">
        <v>1</v>
      </c>
      <c r="C38" s="9">
        <v>43831</v>
      </c>
      <c r="D38" s="16">
        <f>SUMIFS('Weekly Incidence'!E:E, 'Weekly Incidence'!A:A, $A38, 'Weekly Incidence'!C:C, $B38)</f>
        <v>1222</v>
      </c>
      <c r="E38" s="21">
        <v>1982100</v>
      </c>
      <c r="F38" s="20">
        <f>(D38/E38)*100000</f>
        <v>61.651783461984763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24.9</v>
      </c>
      <c r="J38" s="1">
        <f>AVERAGEIFS('Daily Weather Data'!I:I,'Daily Weather Data'!D:D,A38,'Daily Weather Data'!C:C,B38)</f>
        <v>7.12</v>
      </c>
      <c r="K38" s="1">
        <f>SUMIFS('Daily Weather Data'!I:I,'Daily Weather Data'!D:D,A38,'Daily Weather Data'!C:C,B38)</f>
        <v>35.6</v>
      </c>
      <c r="L38" s="1">
        <f>AVERAGEIFS('Daily Weather Data'!L:L,'Daily Weather Data'!D:D,A38,'Daily Weather Data'!C:C,B38)</f>
        <v>28.506451612903223</v>
      </c>
      <c r="M38" s="1">
        <f>_xlfn.MINIFS('Daily Weather Data'!K:K,'Daily Weather Data'!D:D,A38,'Daily Weather Data'!C:C,B38)</f>
        <v>23.6</v>
      </c>
      <c r="N38" s="1">
        <f>_xlfn.MAXIFS('Daily Weather Data'!J:J,'Daily Weather Data'!D:D,A38,'Daily Weather Data'!C:C,B38)</f>
        <v>35</v>
      </c>
      <c r="O38" s="1">
        <f>_xlfn.MINIFS('Daily Weather Data'!L:L,'Daily Weather Data'!D:D,A38,'Daily Weather Data'!C:C,B38)</f>
        <v>24.8</v>
      </c>
      <c r="P38" s="1">
        <f>_xlfn.MAXIFS('Daily Weather Data'!L:L,'Daily Weather Data'!D:D,A38,'Daily Weather Data'!C:C,B38)</f>
        <v>29.9</v>
      </c>
      <c r="Q38" s="1">
        <f>SUMIFS('Daily Weather Data'!M:M,'Daily Weather Data'!D:D,A38,'Daily Weather Data'!C:C,B38)</f>
        <v>4</v>
      </c>
    </row>
    <row r="39" spans="1:17" x14ac:dyDescent="0.2">
      <c r="A39" s="1">
        <v>2020</v>
      </c>
      <c r="B39" s="1">
        <v>2</v>
      </c>
      <c r="C39" s="9">
        <v>43862</v>
      </c>
      <c r="D39" s="16">
        <f>SUMIFS('Weekly Incidence'!E:E, 'Weekly Incidence'!A:A, $A39, 'Weekly Incidence'!C:C, $B39)</f>
        <v>783</v>
      </c>
      <c r="E39" s="21">
        <v>1982100</v>
      </c>
      <c r="F39" s="20">
        <f t="shared" ref="F39:F73" si="1">(D39/E39)*100000</f>
        <v>39.503556833661271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3</v>
      </c>
      <c r="J39" s="1">
        <f>AVERAGEIFS('Daily Weather Data'!I:I,'Daily Weather Data'!D:D,A39,'Daily Weather Data'!C:C,B39)</f>
        <v>1.25</v>
      </c>
      <c r="K39" s="1">
        <f>SUMIFS('Daily Weather Data'!I:I,'Daily Weather Data'!D:D,A39,'Daily Weather Data'!C:C,B39)</f>
        <v>5</v>
      </c>
      <c r="L39" s="1">
        <f>AVERAGEIFS('Daily Weather Data'!L:L,'Daily Weather Data'!D:D,A39,'Daily Weather Data'!C:C,B39)</f>
        <v>28.77241379310345</v>
      </c>
      <c r="M39" s="1">
        <f>_xlfn.MINIFS('Daily Weather Data'!K:K,'Daily Weather Data'!D:D,A39,'Daily Weather Data'!C:C,B39)</f>
        <v>24</v>
      </c>
      <c r="N39" s="1">
        <f>_xlfn.MAXIFS('Daily Weather Data'!J:J,'Daily Weather Data'!D:D,A39,'Daily Weather Data'!C:C,B39)</f>
        <v>0</v>
      </c>
      <c r="O39" s="1">
        <f>_xlfn.MINIFS('Daily Weather Data'!L:L,'Daily Weather Data'!D:D,A39,'Daily Weather Data'!C:C,B39)</f>
        <v>26.6</v>
      </c>
      <c r="P39" s="1">
        <f>_xlfn.MAXIFS('Daily Weather Data'!L:L,'Daily Weather Data'!D:D,A39,'Daily Weather Data'!C:C,B39)</f>
        <v>30.4</v>
      </c>
      <c r="Q39" s="1">
        <f>SUMIFS('Daily Weather Data'!M:M,'Daily Weather Data'!D:D,A39,'Daily Weather Data'!C:C,B39)</f>
        <v>2</v>
      </c>
    </row>
    <row r="40" spans="1:17" x14ac:dyDescent="0.2">
      <c r="A40" s="1">
        <v>2020</v>
      </c>
      <c r="B40" s="1">
        <v>3</v>
      </c>
      <c r="C40" s="9">
        <v>43891</v>
      </c>
      <c r="D40" s="16">
        <f>SUMIFS('Weekly Incidence'!E:E, 'Weekly Incidence'!A:A, $A40, 'Weekly Incidence'!C:C, $B40)</f>
        <v>656</v>
      </c>
      <c r="E40" s="21">
        <v>1982100</v>
      </c>
      <c r="F40" s="20">
        <f t="shared" si="1"/>
        <v>33.096211089248776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47</v>
      </c>
      <c r="J40" s="1">
        <f>AVERAGEIFS('Daily Weather Data'!I:I,'Daily Weather Data'!D:D,A40,'Daily Weather Data'!C:C,B40)</f>
        <v>13.166666666666666</v>
      </c>
      <c r="K40" s="1">
        <f>SUMIFS('Daily Weather Data'!I:I,'Daily Weather Data'!D:D,A40,'Daily Weather Data'!C:C,B40)</f>
        <v>79</v>
      </c>
      <c r="L40" s="1">
        <f>AVERAGEIFS('Daily Weather Data'!L:L,'Daily Weather Data'!D:D,A40,'Daily Weather Data'!C:C,B40)</f>
        <v>28.958064516129035</v>
      </c>
      <c r="M40" s="1">
        <f>_xlfn.MINIFS('Daily Weather Data'!K:K,'Daily Weather Data'!D:D,A40,'Daily Weather Data'!C:C,B40)</f>
        <v>23.7</v>
      </c>
      <c r="N40" s="1">
        <f>_xlfn.MAXIFS('Daily Weather Data'!J:J,'Daily Weather Data'!D:D,A40,'Daily Weather Data'!C:C,B40)</f>
        <v>0</v>
      </c>
      <c r="O40" s="1">
        <f>_xlfn.MINIFS('Daily Weather Data'!L:L,'Daily Weather Data'!D:D,A40,'Daily Weather Data'!C:C,B40)</f>
        <v>27</v>
      </c>
      <c r="P40" s="1">
        <f>_xlfn.MAXIFS('Daily Weather Data'!L:L,'Daily Weather Data'!D:D,A40,'Daily Weather Data'!C:C,B40)</f>
        <v>30.8</v>
      </c>
      <c r="Q40" s="1">
        <f>SUMIFS('Daily Weather Data'!M:M,'Daily Weather Data'!D:D,A40,'Daily Weather Data'!C:C,B40)</f>
        <v>4</v>
      </c>
    </row>
    <row r="41" spans="1:17" x14ac:dyDescent="0.2">
      <c r="A41" s="1">
        <v>2020</v>
      </c>
      <c r="B41" s="1">
        <v>4</v>
      </c>
      <c r="C41" s="9">
        <v>43922</v>
      </c>
      <c r="D41" s="16">
        <f>SUMIFS('Weekly Incidence'!E:E, 'Weekly Incidence'!A:A, $A41, 'Weekly Incidence'!C:C, $B41)</f>
        <v>806</v>
      </c>
      <c r="E41" s="21">
        <v>1982100</v>
      </c>
      <c r="F41" s="20">
        <f t="shared" si="1"/>
        <v>40.663942283436761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31</v>
      </c>
      <c r="J41" s="1">
        <f>AVERAGEIFS('Daily Weather Data'!I:I,'Daily Weather Data'!D:D,A41,'Daily Weather Data'!C:C,B41)</f>
        <v>16</v>
      </c>
      <c r="K41" s="1">
        <f>SUMIFS('Daily Weather Data'!I:I,'Daily Weather Data'!D:D,A41,'Daily Weather Data'!C:C,B41)</f>
        <v>48</v>
      </c>
      <c r="L41" s="1">
        <f>AVERAGEIFS('Daily Weather Data'!L:L,'Daily Weather Data'!D:D,A41,'Daily Weather Data'!C:C,B41)</f>
        <v>28.546666666666667</v>
      </c>
      <c r="M41" s="1">
        <f>_xlfn.MINIFS('Daily Weather Data'!K:K,'Daily Weather Data'!D:D,A41,'Daily Weather Data'!C:C,B41)</f>
        <v>22.9</v>
      </c>
      <c r="N41" s="1">
        <f>_xlfn.MAXIFS('Daily Weather Data'!J:J,'Daily Weather Data'!D:D,A41,'Daily Weather Data'!C:C,B41)</f>
        <v>0</v>
      </c>
      <c r="O41" s="1">
        <f>_xlfn.MINIFS('Daily Weather Data'!L:L,'Daily Weather Data'!D:D,A41,'Daily Weather Data'!C:C,B41)</f>
        <v>26.7</v>
      </c>
      <c r="P41" s="1">
        <f>_xlfn.MAXIFS('Daily Weather Data'!L:L,'Daily Weather Data'!D:D,A41,'Daily Weather Data'!C:C,B41)</f>
        <v>30.2</v>
      </c>
      <c r="Q41" s="1">
        <f>SUMIFS('Daily Weather Data'!M:M,'Daily Weather Data'!D:D,A41,'Daily Weather Data'!C:C,B41)</f>
        <v>2</v>
      </c>
    </row>
    <row r="42" spans="1:17" x14ac:dyDescent="0.2">
      <c r="A42" s="1">
        <v>2020</v>
      </c>
      <c r="B42" s="1">
        <v>5</v>
      </c>
      <c r="C42" s="9">
        <v>43952</v>
      </c>
      <c r="D42" s="16">
        <f>SUMIFS('Weekly Incidence'!E:E, 'Weekly Incidence'!A:A, $A42, 'Weekly Incidence'!C:C, $B42)</f>
        <v>913</v>
      </c>
      <c r="E42" s="21">
        <v>1982100</v>
      </c>
      <c r="F42" s="20">
        <f t="shared" si="1"/>
        <v>46.062257201957522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103.1</v>
      </c>
      <c r="J42" s="1">
        <f>AVERAGEIFS('Daily Weather Data'!I:I,'Daily Weather Data'!D:D,A42,'Daily Weather Data'!C:C,B42)</f>
        <v>7.8363636363636369</v>
      </c>
      <c r="K42" s="1">
        <f>SUMIFS('Daily Weather Data'!I:I,'Daily Weather Data'!D:D,A42,'Daily Weather Data'!C:C,B42)</f>
        <v>172.4</v>
      </c>
      <c r="L42" s="1">
        <f>AVERAGEIFS('Daily Weather Data'!L:L,'Daily Weather Data'!D:D,A42,'Daily Weather Data'!C:C,B42)</f>
        <v>29.316129032258065</v>
      </c>
      <c r="M42" s="1">
        <f>_xlfn.MINIFS('Daily Weather Data'!K:K,'Daily Weather Data'!D:D,A42,'Daily Weather Data'!C:C,B42)</f>
        <v>24.5</v>
      </c>
      <c r="N42" s="1">
        <f>_xlfn.MAXIFS('Daily Weather Data'!J:J,'Daily Weather Data'!D:D,A42,'Daily Weather Data'!C:C,B42)</f>
        <v>35.799999999999997</v>
      </c>
      <c r="O42" s="1">
        <f>_xlfn.MINIFS('Daily Weather Data'!L:L,'Daily Weather Data'!D:D,A42,'Daily Weather Data'!C:C,B42)</f>
        <v>27.2</v>
      </c>
      <c r="P42" s="1">
        <f>_xlfn.MAXIFS('Daily Weather Data'!L:L,'Daily Weather Data'!D:D,A42,'Daily Weather Data'!C:C,B42)</f>
        <v>31.1</v>
      </c>
      <c r="Q42" s="1">
        <f>SUMIFS('Daily Weather Data'!M:M,'Daily Weather Data'!D:D,A42,'Daily Weather Data'!C:C,B42)</f>
        <v>14</v>
      </c>
    </row>
    <row r="43" spans="1:17" x14ac:dyDescent="0.2">
      <c r="A43" s="1">
        <v>2020</v>
      </c>
      <c r="B43" s="1">
        <v>6</v>
      </c>
      <c r="C43" s="9">
        <v>43983</v>
      </c>
      <c r="D43" s="16">
        <f>SUMIFS('Weekly Incidence'!E:E, 'Weekly Incidence'!A:A, $A43, 'Weekly Incidence'!C:C, $B43)</f>
        <v>1485</v>
      </c>
      <c r="E43" s="21">
        <v>1982100</v>
      </c>
      <c r="F43" s="20">
        <f t="shared" si="1"/>
        <v>74.920538822461026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85.6</v>
      </c>
      <c r="J43" s="1">
        <f>AVERAGEIFS('Daily Weather Data'!I:I,'Daily Weather Data'!D:D,A43,'Daily Weather Data'!C:C,B43)</f>
        <v>7.3233333333333341</v>
      </c>
      <c r="K43" s="1">
        <f>SUMIFS('Daily Weather Data'!I:I,'Daily Weather Data'!D:D,A43,'Daily Weather Data'!C:C,B43)</f>
        <v>219.70000000000002</v>
      </c>
      <c r="L43" s="1">
        <f>AVERAGEIFS('Daily Weather Data'!L:L,'Daily Weather Data'!D:D,A43,'Daily Weather Data'!C:C,B43)</f>
        <v>28.486666666666679</v>
      </c>
      <c r="M43" s="1">
        <f>_xlfn.MINIFS('Daily Weather Data'!K:K,'Daily Weather Data'!D:D,A43,'Daily Weather Data'!C:C,B43)</f>
        <v>23.1</v>
      </c>
      <c r="N43" s="1">
        <f>_xlfn.MAXIFS('Daily Weather Data'!J:J,'Daily Weather Data'!D:D,A43,'Daily Weather Data'!C:C,B43)</f>
        <v>35</v>
      </c>
      <c r="O43" s="1">
        <f>_xlfn.MINIFS('Daily Weather Data'!L:L,'Daily Weather Data'!D:D,A43,'Daily Weather Data'!C:C,B43)</f>
        <v>26.1</v>
      </c>
      <c r="P43" s="1">
        <f>_xlfn.MAXIFS('Daily Weather Data'!L:L,'Daily Weather Data'!D:D,A43,'Daily Weather Data'!C:C,B43)</f>
        <v>30.5</v>
      </c>
      <c r="Q43" s="1">
        <f>SUMIFS('Daily Weather Data'!M:M,'Daily Weather Data'!D:D,A43,'Daily Weather Data'!C:C,B43)</f>
        <v>16</v>
      </c>
    </row>
    <row r="44" spans="1:17" x14ac:dyDescent="0.2">
      <c r="A44" s="1">
        <v>2020</v>
      </c>
      <c r="B44" s="1">
        <v>7</v>
      </c>
      <c r="C44" s="9">
        <v>44013</v>
      </c>
      <c r="D44" s="16">
        <f>SUMIFS('Weekly Incidence'!E:E, 'Weekly Incidence'!A:A, $A44, 'Weekly Incidence'!C:C, $B44)</f>
        <v>908</v>
      </c>
      <c r="E44" s="21">
        <v>1982100</v>
      </c>
      <c r="F44" s="20">
        <f t="shared" si="1"/>
        <v>45.80999949548459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82</v>
      </c>
      <c r="J44" s="1">
        <f>AVERAGEIFS('Daily Weather Data'!I:I,'Daily Weather Data'!D:D,A44,'Daily Weather Data'!C:C,B44)</f>
        <v>13.323809523809524</v>
      </c>
      <c r="K44" s="1">
        <f>SUMIFS('Daily Weather Data'!I:I,'Daily Weather Data'!D:D,A44,'Daily Weather Data'!C:C,B44)</f>
        <v>279.8</v>
      </c>
      <c r="L44" s="1">
        <f>AVERAGEIFS('Daily Weather Data'!L:L,'Daily Weather Data'!D:D,A44,'Daily Weather Data'!C:C,B44)</f>
        <v>27.722580645161294</v>
      </c>
      <c r="M44" s="1">
        <f>_xlfn.MINIFS('Daily Weather Data'!K:K,'Daily Weather Data'!D:D,A44,'Daily Weather Data'!C:C,B44)</f>
        <v>22.9</v>
      </c>
      <c r="N44" s="1">
        <f>_xlfn.MAXIFS('Daily Weather Data'!J:J,'Daily Weather Data'!D:D,A44,'Daily Weather Data'!C:C,B44)</f>
        <v>34.200000000000003</v>
      </c>
      <c r="O44" s="1">
        <f>_xlfn.MINIFS('Daily Weather Data'!L:L,'Daily Weather Data'!D:D,A44,'Daily Weather Data'!C:C,B44)</f>
        <v>26.2</v>
      </c>
      <c r="P44" s="1">
        <f>_xlfn.MAXIFS('Daily Weather Data'!L:L,'Daily Weather Data'!D:D,A44,'Daily Weather Data'!C:C,B44)</f>
        <v>29.8</v>
      </c>
      <c r="Q44" s="1">
        <f>SUMIFS('Daily Weather Data'!M:M,'Daily Weather Data'!D:D,A44,'Daily Weather Data'!C:C,B44)</f>
        <v>16</v>
      </c>
    </row>
    <row r="45" spans="1:17" x14ac:dyDescent="0.2">
      <c r="A45" s="1">
        <v>2020</v>
      </c>
      <c r="B45" s="1">
        <v>8</v>
      </c>
      <c r="C45" s="9">
        <v>44044</v>
      </c>
      <c r="D45" s="16">
        <f>SUMIFS('Weekly Incidence'!E:E, 'Weekly Incidence'!A:A, $A45, 'Weekly Incidence'!C:C, $B45)</f>
        <v>799</v>
      </c>
      <c r="E45" s="21">
        <v>1982100</v>
      </c>
      <c r="F45" s="20">
        <f t="shared" si="1"/>
        <v>40.310781494374652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31.2</v>
      </c>
      <c r="J45" s="1">
        <f>AVERAGEIFS('Daily Weather Data'!I:I,'Daily Weather Data'!D:D,A45,'Daily Weather Data'!C:C,B45)</f>
        <v>2.2199999999999998</v>
      </c>
      <c r="K45" s="1">
        <f>SUMIFS('Daily Weather Data'!I:I,'Daily Weather Data'!D:D,A45,'Daily Weather Data'!C:C,B45)</f>
        <v>44.4</v>
      </c>
      <c r="L45" s="1">
        <f>AVERAGEIFS('Daily Weather Data'!L:L,'Daily Weather Data'!D:D,A45,'Daily Weather Data'!C:C,B45)</f>
        <v>28.970967741935489</v>
      </c>
      <c r="M45" s="1">
        <f>_xlfn.MINIFS('Daily Weather Data'!K:K,'Daily Weather Data'!D:D,A45,'Daily Weather Data'!C:C,B45)</f>
        <v>23.7</v>
      </c>
      <c r="N45" s="1">
        <f>_xlfn.MAXIFS('Daily Weather Data'!J:J,'Daily Weather Data'!D:D,A45,'Daily Weather Data'!C:C,B45)</f>
        <v>35.700000000000003</v>
      </c>
      <c r="O45" s="1">
        <f>_xlfn.MINIFS('Daily Weather Data'!L:L,'Daily Weather Data'!D:D,A45,'Daily Weather Data'!C:C,B45)</f>
        <v>26.9</v>
      </c>
      <c r="P45" s="1">
        <f>_xlfn.MAXIFS('Daily Weather Data'!L:L,'Daily Weather Data'!D:D,A45,'Daily Weather Data'!C:C,B45)</f>
        <v>30.9</v>
      </c>
      <c r="Q45" s="1">
        <f>SUMIFS('Daily Weather Data'!M:M,'Daily Weather Data'!D:D,A45,'Daily Weather Data'!C:C,B45)</f>
        <v>8</v>
      </c>
    </row>
    <row r="46" spans="1:17" x14ac:dyDescent="0.2">
      <c r="A46" s="1">
        <v>2020</v>
      </c>
      <c r="B46" s="1">
        <v>9</v>
      </c>
      <c r="C46" s="9">
        <v>44075</v>
      </c>
      <c r="D46" s="16">
        <f>SUMIFS('Weekly Incidence'!E:E, 'Weekly Incidence'!A:A, $A46, 'Weekly Incidence'!C:C, $B46)</f>
        <v>657</v>
      </c>
      <c r="E46" s="21">
        <v>1982100</v>
      </c>
      <c r="F46" s="20">
        <f t="shared" si="1"/>
        <v>33.146662630543361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44.2</v>
      </c>
      <c r="J46" s="1">
        <f>AVERAGEIFS('Daily Weather Data'!I:I,'Daily Weather Data'!D:D,A46,'Daily Weather Data'!C:C,B46)</f>
        <v>8.5882352941176467</v>
      </c>
      <c r="K46" s="1">
        <f>SUMIFS('Daily Weather Data'!I:I,'Daily Weather Data'!D:D,A46,'Daily Weather Data'!C:C,B46)</f>
        <v>146</v>
      </c>
      <c r="L46" s="1">
        <f>AVERAGEIFS('Daily Weather Data'!L:L,'Daily Weather Data'!D:D,A46,'Daily Weather Data'!C:C,B46)</f>
        <v>27.779999999999998</v>
      </c>
      <c r="M46" s="1">
        <f>_xlfn.MINIFS('Daily Weather Data'!K:K,'Daily Weather Data'!D:D,A46,'Daily Weather Data'!C:C,B46)</f>
        <v>23.2</v>
      </c>
      <c r="N46" s="1">
        <f>_xlfn.MAXIFS('Daily Weather Data'!J:J,'Daily Weather Data'!D:D,A46,'Daily Weather Data'!C:C,B46)</f>
        <v>33.299999999999997</v>
      </c>
      <c r="O46" s="1">
        <f>_xlfn.MINIFS('Daily Weather Data'!L:L,'Daily Weather Data'!D:D,A46,'Daily Weather Data'!C:C,B46)</f>
        <v>25.5</v>
      </c>
      <c r="P46" s="1">
        <f>_xlfn.MAXIFS('Daily Weather Data'!L:L,'Daily Weather Data'!D:D,A46,'Daily Weather Data'!C:C,B46)</f>
        <v>29.6</v>
      </c>
      <c r="Q46" s="1">
        <f>SUMIFS('Daily Weather Data'!M:M,'Daily Weather Data'!D:D,A46,'Daily Weather Data'!C:C,B46)</f>
        <v>12</v>
      </c>
    </row>
    <row r="47" spans="1:17" x14ac:dyDescent="0.2">
      <c r="A47" s="1">
        <v>2020</v>
      </c>
      <c r="B47" s="1">
        <v>10</v>
      </c>
      <c r="C47" s="9">
        <v>44105</v>
      </c>
      <c r="D47" s="16">
        <f>SUMIFS('Weekly Incidence'!E:E, 'Weekly Incidence'!A:A, $A47, 'Weekly Incidence'!C:C, $B47)</f>
        <v>603</v>
      </c>
      <c r="E47" s="21">
        <v>1982100</v>
      </c>
      <c r="F47" s="20">
        <f t="shared" si="1"/>
        <v>30.422279400635691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85.6</v>
      </c>
      <c r="J47" s="1">
        <f>AVERAGEIFS('Daily Weather Data'!I:I,'Daily Weather Data'!D:D,A47,'Daily Weather Data'!C:C,B47)</f>
        <v>6.8892857142857169</v>
      </c>
      <c r="K47" s="1">
        <f>SUMIFS('Daily Weather Data'!I:I,'Daily Weather Data'!D:D,A47,'Daily Weather Data'!C:C,B47)</f>
        <v>192.90000000000006</v>
      </c>
      <c r="L47" s="1">
        <f>AVERAGEIFS('Daily Weather Data'!L:L,'Daily Weather Data'!D:D,A47,'Daily Weather Data'!C:C,B47)</f>
        <v>28.396774193548389</v>
      </c>
      <c r="M47" s="1">
        <f>_xlfn.MINIFS('Daily Weather Data'!K:K,'Daily Weather Data'!D:D,A47,'Daily Weather Data'!C:C,B47)</f>
        <v>22.8</v>
      </c>
      <c r="N47" s="1">
        <f>_xlfn.MAXIFS('Daily Weather Data'!J:J,'Daily Weather Data'!D:D,A47,'Daily Weather Data'!C:C,B47)</f>
        <v>34</v>
      </c>
      <c r="O47" s="1">
        <f>_xlfn.MINIFS('Daily Weather Data'!L:L,'Daily Weather Data'!D:D,A47,'Daily Weather Data'!C:C,B47)</f>
        <v>25.9</v>
      </c>
      <c r="P47" s="1">
        <f>_xlfn.MAXIFS('Daily Weather Data'!L:L,'Daily Weather Data'!D:D,A47,'Daily Weather Data'!C:C,B47)</f>
        <v>30.1</v>
      </c>
      <c r="Q47" s="1">
        <f>SUMIFS('Daily Weather Data'!M:M,'Daily Weather Data'!D:D,A47,'Daily Weather Data'!C:C,B47)</f>
        <v>15</v>
      </c>
    </row>
    <row r="48" spans="1:17" x14ac:dyDescent="0.2">
      <c r="A48" s="1">
        <v>2020</v>
      </c>
      <c r="B48" s="1">
        <v>11</v>
      </c>
      <c r="C48" s="9">
        <v>44136</v>
      </c>
      <c r="D48" s="16">
        <f>SUMIFS('Weekly Incidence'!E:E, 'Weekly Incidence'!A:A, $A48, 'Weekly Incidence'!C:C, $B48)</f>
        <v>489</v>
      </c>
      <c r="E48" s="21">
        <v>1982100</v>
      </c>
      <c r="F48" s="20">
        <f t="shared" si="1"/>
        <v>24.670803693052825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63</v>
      </c>
      <c r="J48" s="1">
        <f>AVERAGEIFS('Daily Weather Data'!I:I,'Daily Weather Data'!D:D,A48,'Daily Weather Data'!C:C,B48)</f>
        <v>12.566666666666666</v>
      </c>
      <c r="K48" s="1">
        <f>SUMIFS('Daily Weather Data'!I:I,'Daily Weather Data'!D:D,A48,'Daily Weather Data'!C:C,B48)</f>
        <v>339.3</v>
      </c>
      <c r="L48" s="1">
        <f>AVERAGEIFS('Daily Weather Data'!L:L,'Daily Weather Data'!D:D,A48,'Daily Weather Data'!C:C,B48)</f>
        <v>27.529999999999998</v>
      </c>
      <c r="M48" s="1">
        <f>_xlfn.MINIFS('Daily Weather Data'!K:K,'Daily Weather Data'!D:D,A48,'Daily Weather Data'!C:C,B48)</f>
        <v>23.2</v>
      </c>
      <c r="N48" s="1">
        <f>_xlfn.MAXIFS('Daily Weather Data'!J:J,'Daily Weather Data'!D:D,A48,'Daily Weather Data'!C:C,B48)</f>
        <v>34.4</v>
      </c>
      <c r="O48" s="1">
        <f>_xlfn.MINIFS('Daily Weather Data'!L:L,'Daily Weather Data'!D:D,A48,'Daily Weather Data'!C:C,B48)</f>
        <v>26</v>
      </c>
      <c r="P48" s="1">
        <f>_xlfn.MAXIFS('Daily Weather Data'!L:L,'Daily Weather Data'!D:D,A48,'Daily Weather Data'!C:C,B48)</f>
        <v>29.7</v>
      </c>
      <c r="Q48" s="1">
        <f>SUMIFS('Daily Weather Data'!M:M,'Daily Weather Data'!D:D,A48,'Daily Weather Data'!C:C,B48)</f>
        <v>18</v>
      </c>
    </row>
    <row r="49" spans="1:17" x14ac:dyDescent="0.2">
      <c r="A49" s="1">
        <v>2020</v>
      </c>
      <c r="B49" s="1">
        <v>12</v>
      </c>
      <c r="C49" s="9">
        <v>44166</v>
      </c>
      <c r="D49" s="16">
        <f>SUMIFS('Weekly Incidence'!E:E, 'Weekly Incidence'!A:A, $A49, 'Weekly Incidence'!C:C, $B49)</f>
        <v>274</v>
      </c>
      <c r="E49" s="21">
        <v>1982100</v>
      </c>
      <c r="F49" s="20">
        <f t="shared" si="1"/>
        <v>13.823722314716715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90.9</v>
      </c>
      <c r="J49" s="1">
        <f>AVERAGEIFS('Daily Weather Data'!I:I,'Daily Weather Data'!D:D,A49,'Daily Weather Data'!C:C,B49)</f>
        <v>9.7612903225806456</v>
      </c>
      <c r="K49" s="1">
        <f>SUMIFS('Daily Weather Data'!I:I,'Daily Weather Data'!D:D,A49,'Daily Weather Data'!C:C,B49)</f>
        <v>302.60000000000002</v>
      </c>
      <c r="L49" s="1">
        <f>AVERAGEIFS('Daily Weather Data'!L:L,'Daily Weather Data'!D:D,A49,'Daily Weather Data'!C:C,B49)</f>
        <v>27.229032258064514</v>
      </c>
      <c r="M49" s="1">
        <f>_xlfn.MINIFS('Daily Weather Data'!K:K,'Daily Weather Data'!D:D,A49,'Daily Weather Data'!C:C,B49)</f>
        <v>22.7</v>
      </c>
      <c r="N49" s="1">
        <f>_xlfn.MAXIFS('Daily Weather Data'!J:J,'Daily Weather Data'!D:D,A49,'Daily Weather Data'!C:C,B49)</f>
        <v>33.1</v>
      </c>
      <c r="O49" s="1">
        <f>_xlfn.MINIFS('Daily Weather Data'!L:L,'Daily Weather Data'!D:D,A49,'Daily Weather Data'!C:C,B49)</f>
        <v>25.7</v>
      </c>
      <c r="P49" s="1">
        <f>_xlfn.MAXIFS('Daily Weather Data'!L:L,'Daily Weather Data'!D:D,A49,'Daily Weather Data'!C:C,B49)</f>
        <v>29.3</v>
      </c>
      <c r="Q49" s="1">
        <f>SUMIFS('Daily Weather Data'!M:M,'Daily Weather Data'!D:D,A49,'Daily Weather Data'!C:C,B49)</f>
        <v>23</v>
      </c>
    </row>
    <row r="50" spans="1:17" x14ac:dyDescent="0.2">
      <c r="A50" s="1">
        <v>2021</v>
      </c>
      <c r="B50" s="1">
        <v>1</v>
      </c>
      <c r="C50" s="9">
        <v>44197</v>
      </c>
      <c r="D50" s="16">
        <f>SUMIFS('Weekly Incidence'!E:E, 'Weekly Incidence'!A:A, $A50, 'Weekly Incidence'!C:C, $B50)</f>
        <v>207</v>
      </c>
      <c r="E50" s="16">
        <v>1964000</v>
      </c>
      <c r="F50" s="20">
        <f t="shared" si="1"/>
        <v>10.539714867617107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37.799999999999997</v>
      </c>
      <c r="J50" s="1">
        <f>AVERAGEIFS('Daily Weather Data'!I:I,'Daily Weather Data'!D:D,A50,'Daily Weather Data'!C:C,B50)</f>
        <v>3.352631578947368</v>
      </c>
      <c r="K50" s="1">
        <f>SUMIFS('Daily Weather Data'!I:I,'Daily Weather Data'!D:D,A50,'Daily Weather Data'!C:C,B50)</f>
        <v>63.699999999999989</v>
      </c>
      <c r="L50" s="1">
        <f>AVERAGEIFS('Daily Weather Data'!L:L,'Daily Weather Data'!D:D,A50,'Daily Weather Data'!C:C,B50)</f>
        <v>27.145161290322584</v>
      </c>
      <c r="M50" s="1">
        <f>_xlfn.MINIFS('Daily Weather Data'!K:K,'Daily Weather Data'!D:D,A50,'Daily Weather Data'!C:C,B50)</f>
        <v>22.6</v>
      </c>
      <c r="N50" s="1">
        <f>_xlfn.MAXIFS('Daily Weather Data'!J:J,'Daily Weather Data'!D:D,A50,'Daily Weather Data'!C:C,B50)</f>
        <v>33.5</v>
      </c>
      <c r="O50" s="1">
        <f>_xlfn.MINIFS('Daily Weather Data'!L:L,'Daily Weather Data'!D:D,A50,'Daily Weather Data'!C:C,B50)</f>
        <v>23.3</v>
      </c>
      <c r="P50" s="1">
        <f>_xlfn.MAXIFS('Daily Weather Data'!L:L,'Daily Weather Data'!D:D,A50,'Daily Weather Data'!C:C,B50)</f>
        <v>28.9</v>
      </c>
      <c r="Q50" s="1">
        <f>SUMIFS('Daily Weather Data'!M:M,'Daily Weather Data'!D:D,A50,'Daily Weather Data'!C:C,B50)</f>
        <v>9</v>
      </c>
    </row>
    <row r="51" spans="1:17" x14ac:dyDescent="0.2">
      <c r="A51" s="1">
        <v>2021</v>
      </c>
      <c r="B51" s="1">
        <v>2</v>
      </c>
      <c r="C51" s="9">
        <v>44228</v>
      </c>
      <c r="D51" s="16">
        <f>SUMIFS('Weekly Incidence'!E:E, 'Weekly Incidence'!A:A, $A51, 'Weekly Incidence'!C:C, $B51)</f>
        <v>63</v>
      </c>
      <c r="E51" s="16">
        <v>1964000</v>
      </c>
      <c r="F51" s="20">
        <f t="shared" si="1"/>
        <v>3.2077393075356415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57.9</v>
      </c>
      <c r="J51" s="1">
        <f>AVERAGEIFS('Daily Weather Data'!I:I,'Daily Weather Data'!D:D,A51,'Daily Weather Data'!C:C,B51)</f>
        <v>6.14</v>
      </c>
      <c r="K51" s="1">
        <f>SUMIFS('Daily Weather Data'!I:I,'Daily Weather Data'!D:D,A51,'Daily Weather Data'!C:C,B51)</f>
        <v>61.4</v>
      </c>
      <c r="L51" s="1">
        <f>AVERAGEIFS('Daily Weather Data'!L:L,'Daily Weather Data'!D:D,A51,'Daily Weather Data'!C:C,B51)</f>
        <v>28.640000000000004</v>
      </c>
      <c r="M51" s="1">
        <f>_xlfn.MINIFS('Daily Weather Data'!K:K,'Daily Weather Data'!D:D,A51,'Daily Weather Data'!C:C,B51)</f>
        <v>22.6</v>
      </c>
      <c r="N51" s="1">
        <f>_xlfn.MAXIFS('Daily Weather Data'!J:J,'Daily Weather Data'!D:D,A51,'Daily Weather Data'!C:C,B51)</f>
        <v>36</v>
      </c>
      <c r="O51" s="1">
        <f>_xlfn.MINIFS('Daily Weather Data'!L:L,'Daily Weather Data'!D:D,A51,'Daily Weather Data'!C:C,B51)</f>
        <v>26.2</v>
      </c>
      <c r="P51" s="1">
        <f>_xlfn.MAXIFS('Daily Weather Data'!L:L,'Daily Weather Data'!D:D,A51,'Daily Weather Data'!C:C,B51)</f>
        <v>29.8</v>
      </c>
      <c r="Q51" s="1">
        <f>SUMIFS('Daily Weather Data'!M:M,'Daily Weather Data'!D:D,A51,'Daily Weather Data'!C:C,B51)</f>
        <v>3</v>
      </c>
    </row>
    <row r="52" spans="1:17" x14ac:dyDescent="0.2">
      <c r="A52" s="1">
        <v>2021</v>
      </c>
      <c r="B52" s="1">
        <v>3</v>
      </c>
      <c r="C52" s="9">
        <v>44256</v>
      </c>
      <c r="D52" s="16">
        <f>SUMIFS('Weekly Incidence'!E:E, 'Weekly Incidence'!A:A, $A52, 'Weekly Incidence'!C:C, $B52)</f>
        <v>194</v>
      </c>
      <c r="E52" s="16">
        <v>1964000</v>
      </c>
      <c r="F52" s="20">
        <f t="shared" si="1"/>
        <v>9.8778004073319767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136.9</v>
      </c>
      <c r="J52" s="1">
        <f>AVERAGEIFS('Daily Weather Data'!I:I,'Daily Weather Data'!D:D,A52,'Daily Weather Data'!C:C,B52)</f>
        <v>14.253846153846151</v>
      </c>
      <c r="K52" s="1">
        <f>SUMIFS('Daily Weather Data'!I:I,'Daily Weather Data'!D:D,A52,'Daily Weather Data'!C:C,B52)</f>
        <v>370.59999999999991</v>
      </c>
      <c r="L52" s="1">
        <f>AVERAGEIFS('Daily Weather Data'!L:L,'Daily Weather Data'!D:D,A52,'Daily Weather Data'!C:C,B52)</f>
        <v>28.003225806451614</v>
      </c>
      <c r="M52" s="1">
        <f>_xlfn.MINIFS('Daily Weather Data'!K:K,'Daily Weather Data'!D:D,A52,'Daily Weather Data'!C:C,B52)</f>
        <v>23.2</v>
      </c>
      <c r="N52" s="1">
        <f>_xlfn.MAXIFS('Daily Weather Data'!J:J,'Daily Weather Data'!D:D,A52,'Daily Weather Data'!C:C,B52)</f>
        <v>35.200000000000003</v>
      </c>
      <c r="O52" s="1">
        <f>_xlfn.MINIFS('Daily Weather Data'!L:L,'Daily Weather Data'!D:D,A52,'Daily Weather Data'!C:C,B52)</f>
        <v>25.8</v>
      </c>
      <c r="P52" s="1">
        <f>_xlfn.MAXIFS('Daily Weather Data'!L:L,'Daily Weather Data'!D:D,A52,'Daily Weather Data'!C:C,B52)</f>
        <v>29.8</v>
      </c>
      <c r="Q52" s="1">
        <f>SUMIFS('Daily Weather Data'!M:M,'Daily Weather Data'!D:D,A52,'Daily Weather Data'!C:C,B52)</f>
        <v>19</v>
      </c>
    </row>
    <row r="53" spans="1:17" x14ac:dyDescent="0.2">
      <c r="A53" s="1">
        <v>2021</v>
      </c>
      <c r="B53" s="1">
        <v>4</v>
      </c>
      <c r="C53" s="9">
        <v>44287</v>
      </c>
      <c r="D53" s="16">
        <f>SUMIFS('Weekly Incidence'!E:E, 'Weekly Incidence'!A:A, $A53, 'Weekly Incidence'!C:C, $B53)</f>
        <v>252</v>
      </c>
      <c r="E53" s="16">
        <v>1964000</v>
      </c>
      <c r="F53" s="20">
        <f t="shared" si="1"/>
        <v>12.830957230142566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63</v>
      </c>
      <c r="J53" s="1">
        <f>AVERAGEIFS('Daily Weather Data'!I:I,'Daily Weather Data'!D:D,A53,'Daily Weather Data'!C:C,B53)</f>
        <v>13.17</v>
      </c>
      <c r="K53" s="1">
        <f>SUMIFS('Daily Weather Data'!I:I,'Daily Weather Data'!D:D,A53,'Daily Weather Data'!C:C,B53)</f>
        <v>395.1</v>
      </c>
      <c r="L53" s="1">
        <f>AVERAGEIFS('Daily Weather Data'!L:L,'Daily Weather Data'!D:D,A53,'Daily Weather Data'!C:C,B53)</f>
        <v>28.016666666666662</v>
      </c>
      <c r="M53" s="1">
        <f>_xlfn.MINIFS('Daily Weather Data'!K:K,'Daily Weather Data'!D:D,A53,'Daily Weather Data'!C:C,B53)</f>
        <v>23.2</v>
      </c>
      <c r="N53" s="1">
        <f>_xlfn.MAXIFS('Daily Weather Data'!J:J,'Daily Weather Data'!D:D,A53,'Daily Weather Data'!C:C,B53)</f>
        <v>35.1</v>
      </c>
      <c r="O53" s="1">
        <f>_xlfn.MINIFS('Daily Weather Data'!L:L,'Daily Weather Data'!D:D,A53,'Daily Weather Data'!C:C,B53)</f>
        <v>26</v>
      </c>
      <c r="P53" s="1">
        <f>_xlfn.MAXIFS('Daily Weather Data'!L:L,'Daily Weather Data'!D:D,A53,'Daily Weather Data'!C:C,B53)</f>
        <v>30.3</v>
      </c>
      <c r="Q53" s="1">
        <f>SUMIFS('Daily Weather Data'!M:M,'Daily Weather Data'!D:D,A53,'Daily Weather Data'!C:C,B53)</f>
        <v>19</v>
      </c>
    </row>
    <row r="54" spans="1:17" x14ac:dyDescent="0.2">
      <c r="A54" s="1">
        <v>2021</v>
      </c>
      <c r="B54" s="1">
        <v>5</v>
      </c>
      <c r="C54" s="9">
        <v>44317</v>
      </c>
      <c r="D54" s="16">
        <f>SUMIFS('Weekly Incidence'!E:E, 'Weekly Incidence'!A:A, $A54, 'Weekly Incidence'!C:C, $B54)</f>
        <v>219</v>
      </c>
      <c r="E54" s="16">
        <v>1964000</v>
      </c>
      <c r="F54" s="20">
        <f t="shared" si="1"/>
        <v>11.150712830957231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80</v>
      </c>
      <c r="J54" s="1">
        <f>AVERAGEIFS('Daily Weather Data'!I:I,'Daily Weather Data'!D:D,A54,'Daily Weather Data'!C:C,B54)</f>
        <v>16.62</v>
      </c>
      <c r="K54" s="1">
        <f>SUMIFS('Daily Weather Data'!I:I,'Daily Weather Data'!D:D,A54,'Daily Weather Data'!C:C,B54)</f>
        <v>415.5</v>
      </c>
      <c r="L54" s="1">
        <f>AVERAGEIFS('Daily Weather Data'!L:L,'Daily Weather Data'!D:D,A54,'Daily Weather Data'!C:C,B54)</f>
        <v>28.20967741935484</v>
      </c>
      <c r="M54" s="1">
        <f>_xlfn.MINIFS('Daily Weather Data'!K:K,'Daily Weather Data'!D:D,A54,'Daily Weather Data'!C:C,B54)</f>
        <v>22.9</v>
      </c>
      <c r="N54" s="1">
        <f>_xlfn.MAXIFS('Daily Weather Data'!J:J,'Daily Weather Data'!D:D,A54,'Daily Weather Data'!C:C,B54)</f>
        <v>34.200000000000003</v>
      </c>
      <c r="O54" s="1">
        <f>_xlfn.MINIFS('Daily Weather Data'!L:L,'Daily Weather Data'!D:D,A54,'Daily Weather Data'!C:C,B54)</f>
        <v>25.7</v>
      </c>
      <c r="P54" s="1">
        <f>_xlfn.MAXIFS('Daily Weather Data'!L:L,'Daily Weather Data'!D:D,A54,'Daily Weather Data'!C:C,B54)</f>
        <v>30</v>
      </c>
      <c r="Q54" s="1">
        <f>SUMIFS('Daily Weather Data'!M:M,'Daily Weather Data'!D:D,A54,'Daily Weather Data'!C:C,B54)</f>
        <v>18</v>
      </c>
    </row>
    <row r="55" spans="1:17" x14ac:dyDescent="0.2">
      <c r="A55" s="1">
        <v>2021</v>
      </c>
      <c r="B55" s="1">
        <v>6</v>
      </c>
      <c r="C55" s="9">
        <v>44348</v>
      </c>
      <c r="D55" s="16">
        <f>SUMIFS('Weekly Incidence'!E:E, 'Weekly Incidence'!A:A, $A55, 'Weekly Incidence'!C:C, $B55)</f>
        <v>250</v>
      </c>
      <c r="E55" s="16">
        <v>1964000</v>
      </c>
      <c r="F55" s="20">
        <f t="shared" si="1"/>
        <v>12.729124236252545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20.100000000000001</v>
      </c>
      <c r="J55" s="1">
        <f>AVERAGEIFS('Daily Weather Data'!I:I,'Daily Weather Data'!D:D,A55,'Daily Weather Data'!C:C,B55)</f>
        <v>5.2249999999999996</v>
      </c>
      <c r="K55" s="1">
        <f>SUMIFS('Daily Weather Data'!I:I,'Daily Weather Data'!D:D,A55,'Daily Weather Data'!C:C,B55)</f>
        <v>83.6</v>
      </c>
      <c r="L55" s="1">
        <f>AVERAGEIFS('Daily Weather Data'!L:L,'Daily Weather Data'!D:D,A55,'Daily Weather Data'!C:C,B55)</f>
        <v>28.06</v>
      </c>
      <c r="M55" s="1">
        <f>_xlfn.MINIFS('Daily Weather Data'!K:K,'Daily Weather Data'!D:D,A55,'Daily Weather Data'!C:C,B55)</f>
        <v>23.3</v>
      </c>
      <c r="N55" s="1">
        <f>_xlfn.MAXIFS('Daily Weather Data'!J:J,'Daily Weather Data'!D:D,A55,'Daily Weather Data'!C:C,B55)</f>
        <v>34.299999999999997</v>
      </c>
      <c r="O55" s="1">
        <f>_xlfn.MINIFS('Daily Weather Data'!L:L,'Daily Weather Data'!D:D,A55,'Daily Weather Data'!C:C,B55)</f>
        <v>25.6</v>
      </c>
      <c r="P55" s="1">
        <f>_xlfn.MAXIFS('Daily Weather Data'!L:L,'Daily Weather Data'!D:D,A55,'Daily Weather Data'!C:C,B55)</f>
        <v>30</v>
      </c>
      <c r="Q55" s="1">
        <f>SUMIFS('Daily Weather Data'!M:M,'Daily Weather Data'!D:D,A55,'Daily Weather Data'!C:C,B55)</f>
        <v>7</v>
      </c>
    </row>
    <row r="56" spans="1:17" x14ac:dyDescent="0.2">
      <c r="A56" s="1">
        <v>2021</v>
      </c>
      <c r="B56" s="1">
        <v>7</v>
      </c>
      <c r="C56" s="9">
        <v>44378</v>
      </c>
      <c r="D56" s="16">
        <f>SUMIFS('Weekly Incidence'!E:E, 'Weekly Incidence'!A:A, $A56, 'Weekly Incidence'!C:C, $B56)</f>
        <v>312</v>
      </c>
      <c r="E56" s="16">
        <v>1964000</v>
      </c>
      <c r="F56" s="20">
        <f t="shared" si="1"/>
        <v>15.885947046843178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35.1</v>
      </c>
      <c r="J56" s="1">
        <f>AVERAGEIFS('Daily Weather Data'!I:I,'Daily Weather Data'!D:D,A56,'Daily Weather Data'!C:C,B56)</f>
        <v>6.1866666666666665</v>
      </c>
      <c r="K56" s="1">
        <f>SUMIFS('Daily Weather Data'!I:I,'Daily Weather Data'!D:D,A56,'Daily Weather Data'!C:C,B56)</f>
        <v>92.8</v>
      </c>
      <c r="L56" s="1">
        <f>AVERAGEIFS('Daily Weather Data'!L:L,'Daily Weather Data'!D:D,A56,'Daily Weather Data'!C:C,B56)</f>
        <v>28.300000000000004</v>
      </c>
      <c r="M56" s="1">
        <f>_xlfn.MINIFS('Daily Weather Data'!K:K,'Daily Weather Data'!D:D,A56,'Daily Weather Data'!C:C,B56)</f>
        <v>23.1</v>
      </c>
      <c r="N56" s="1">
        <f>_xlfn.MAXIFS('Daily Weather Data'!J:J,'Daily Weather Data'!D:D,A56,'Daily Weather Data'!C:C,B56)</f>
        <v>33.299999999999997</v>
      </c>
      <c r="O56" s="1">
        <f>_xlfn.MINIFS('Daily Weather Data'!L:L,'Daily Weather Data'!D:D,A56,'Daily Weather Data'!C:C,B56)</f>
        <v>26.3</v>
      </c>
      <c r="P56" s="1">
        <f>_xlfn.MAXIFS('Daily Weather Data'!L:L,'Daily Weather Data'!D:D,A56,'Daily Weather Data'!C:C,B56)</f>
        <v>29.9</v>
      </c>
      <c r="Q56" s="1">
        <f>SUMIFS('Daily Weather Data'!M:M,'Daily Weather Data'!D:D,A56,'Daily Weather Data'!C:C,B56)</f>
        <v>7</v>
      </c>
    </row>
    <row r="57" spans="1:17" x14ac:dyDescent="0.2">
      <c r="A57" s="1">
        <v>2021</v>
      </c>
      <c r="B57" s="1">
        <v>8</v>
      </c>
      <c r="C57" s="9">
        <v>44409</v>
      </c>
      <c r="D57" s="16">
        <f>SUMIFS('Weekly Incidence'!E:E, 'Weekly Incidence'!A:A, $A57, 'Weekly Incidence'!C:C, $B57)</f>
        <v>54</v>
      </c>
      <c r="E57" s="16">
        <v>1964000</v>
      </c>
      <c r="F57" s="20">
        <f t="shared" si="1"/>
        <v>2.7494908350305498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54.1</v>
      </c>
      <c r="J57" s="1">
        <f>AVERAGEIFS('Daily Weather Data'!I:I,'Daily Weather Data'!D:D,A57,'Daily Weather Data'!C:C,B57)</f>
        <v>6.0222222222222213</v>
      </c>
      <c r="K57" s="1">
        <f>SUMIFS('Daily Weather Data'!I:I,'Daily Weather Data'!D:D,A57,'Daily Weather Data'!C:C,B57)</f>
        <v>108.39999999999998</v>
      </c>
      <c r="L57" s="1">
        <f>AVERAGEIFS('Daily Weather Data'!L:L,'Daily Weather Data'!D:D,A57,'Daily Weather Data'!C:C,B57)</f>
        <v>27.690322580645162</v>
      </c>
      <c r="M57" s="1">
        <f>_xlfn.MINIFS('Daily Weather Data'!K:K,'Daily Weather Data'!D:D,A57,'Daily Weather Data'!C:C,B57)</f>
        <v>22.3</v>
      </c>
      <c r="N57" s="1">
        <f>_xlfn.MAXIFS('Daily Weather Data'!J:J,'Daily Weather Data'!D:D,A57,'Daily Weather Data'!C:C,B57)</f>
        <v>34.200000000000003</v>
      </c>
      <c r="O57" s="1">
        <f>_xlfn.MINIFS('Daily Weather Data'!L:L,'Daily Weather Data'!D:D,A57,'Daily Weather Data'!C:C,B57)</f>
        <v>24.9</v>
      </c>
      <c r="P57" s="1">
        <f>_xlfn.MAXIFS('Daily Weather Data'!L:L,'Daily Weather Data'!D:D,A57,'Daily Weather Data'!C:C,B57)</f>
        <v>29.8</v>
      </c>
      <c r="Q57" s="1">
        <f>SUMIFS('Daily Weather Data'!M:M,'Daily Weather Data'!D:D,A57,'Daily Weather Data'!C:C,B57)</f>
        <v>11</v>
      </c>
    </row>
    <row r="58" spans="1:17" x14ac:dyDescent="0.2">
      <c r="A58" s="1">
        <v>2021</v>
      </c>
      <c r="B58" s="1">
        <v>9</v>
      </c>
      <c r="C58" s="9">
        <v>44440</v>
      </c>
      <c r="D58" s="16">
        <f>SUMIFS('Weekly Incidence'!E:E, 'Weekly Incidence'!A:A, $A58, 'Weekly Incidence'!C:C, $B58)</f>
        <v>0</v>
      </c>
      <c r="E58" s="16">
        <v>1964000</v>
      </c>
      <c r="F58" s="20">
        <f t="shared" si="1"/>
        <v>0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88.9</v>
      </c>
      <c r="J58" s="1">
        <f>AVERAGEIFS('Daily Weather Data'!I:I,'Daily Weather Data'!D:D,A58,'Daily Weather Data'!C:C,B58)</f>
        <v>13.1625</v>
      </c>
      <c r="K58" s="1">
        <f>SUMIFS('Daily Weather Data'!I:I,'Daily Weather Data'!D:D,A58,'Daily Weather Data'!C:C,B58)</f>
        <v>315.89999999999998</v>
      </c>
      <c r="L58" s="1">
        <f>AVERAGEIFS('Daily Weather Data'!L:L,'Daily Weather Data'!D:D,A58,'Daily Weather Data'!C:C,B58)</f>
        <v>27.956666666666667</v>
      </c>
      <c r="M58" s="1">
        <f>_xlfn.MINIFS('Daily Weather Data'!K:K,'Daily Weather Data'!D:D,A58,'Daily Weather Data'!C:C,B58)</f>
        <v>21.9</v>
      </c>
      <c r="N58" s="1">
        <f>_xlfn.MAXIFS('Daily Weather Data'!J:J,'Daily Weather Data'!D:D,A58,'Daily Weather Data'!C:C,B58)</f>
        <v>34.4</v>
      </c>
      <c r="O58" s="1">
        <f>_xlfn.MINIFS('Daily Weather Data'!L:L,'Daily Weather Data'!D:D,A58,'Daily Weather Data'!C:C,B58)</f>
        <v>25.1</v>
      </c>
      <c r="P58" s="1">
        <f>_xlfn.MAXIFS('Daily Weather Data'!L:L,'Daily Weather Data'!D:D,A58,'Daily Weather Data'!C:C,B58)</f>
        <v>29.7</v>
      </c>
      <c r="Q58" s="1">
        <f>SUMIFS('Daily Weather Data'!M:M,'Daily Weather Data'!D:D,A58,'Daily Weather Data'!C:C,B58)</f>
        <v>15</v>
      </c>
    </row>
    <row r="59" spans="1:17" x14ac:dyDescent="0.2">
      <c r="A59" s="1">
        <v>2021</v>
      </c>
      <c r="B59" s="1">
        <v>10</v>
      </c>
      <c r="C59" s="9">
        <v>44470</v>
      </c>
      <c r="D59" s="16">
        <f>SUMIFS('Weekly Incidence'!E:E, 'Weekly Incidence'!A:A, $A59, 'Weekly Incidence'!C:C, $B59)</f>
        <v>317</v>
      </c>
      <c r="E59" s="16">
        <v>1964000</v>
      </c>
      <c r="F59" s="20">
        <f t="shared" si="1"/>
        <v>16.140529531568227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36.1</v>
      </c>
      <c r="J59" s="1">
        <f>AVERAGEIFS('Daily Weather Data'!I:I,'Daily Weather Data'!D:D,A59,'Daily Weather Data'!C:C,B59)</f>
        <v>4.5</v>
      </c>
      <c r="K59" s="1">
        <f>SUMIFS('Daily Weather Data'!I:I,'Daily Weather Data'!D:D,A59,'Daily Weather Data'!C:C,B59)</f>
        <v>58.5</v>
      </c>
      <c r="L59" s="1">
        <f>AVERAGEIFS('Daily Weather Data'!L:L,'Daily Weather Data'!D:D,A59,'Daily Weather Data'!C:C,B59)</f>
        <v>28.751612903225801</v>
      </c>
      <c r="M59" s="1">
        <f>_xlfn.MINIFS('Daily Weather Data'!K:K,'Daily Weather Data'!D:D,A59,'Daily Weather Data'!C:C,B59)</f>
        <v>23.3</v>
      </c>
      <c r="N59" s="1">
        <f>_xlfn.MAXIFS('Daily Weather Data'!J:J,'Daily Weather Data'!D:D,A59,'Daily Weather Data'!C:C,B59)</f>
        <v>32.5</v>
      </c>
      <c r="O59" s="1">
        <f>_xlfn.MINIFS('Daily Weather Data'!L:L,'Daily Weather Data'!D:D,A59,'Daily Weather Data'!C:C,B59)</f>
        <v>25.1</v>
      </c>
      <c r="P59" s="1">
        <f>_xlfn.MAXIFS('Daily Weather Data'!L:L,'Daily Weather Data'!D:D,A59,'Daily Weather Data'!C:C,B59)</f>
        <v>30.4</v>
      </c>
      <c r="Q59" s="1">
        <f>SUMIFS('Daily Weather Data'!M:M,'Daily Weather Data'!D:D,A59,'Daily Weather Data'!C:C,B59)</f>
        <v>5</v>
      </c>
    </row>
    <row r="60" spans="1:17" x14ac:dyDescent="0.2">
      <c r="A60" s="1">
        <v>2021</v>
      </c>
      <c r="B60" s="1">
        <v>11</v>
      </c>
      <c r="C60" s="9">
        <v>44501</v>
      </c>
      <c r="D60" s="16">
        <f>SUMIFS('Weekly Incidence'!E:E, 'Weekly Incidence'!A:A, $A60, 'Weekly Incidence'!C:C, $B60)</f>
        <v>189</v>
      </c>
      <c r="E60" s="16">
        <v>1964000</v>
      </c>
      <c r="F60" s="20">
        <f t="shared" si="1"/>
        <v>9.6232179226069245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96</v>
      </c>
      <c r="J60" s="1">
        <f>AVERAGEIFS('Daily Weather Data'!I:I,'Daily Weather Data'!D:D,A60,'Daily Weather Data'!C:C,B60)</f>
        <v>11.805263157894736</v>
      </c>
      <c r="K60" s="1">
        <f>SUMIFS('Daily Weather Data'!I:I,'Daily Weather Data'!D:D,A60,'Daily Weather Data'!C:C,B60)</f>
        <v>224.29999999999998</v>
      </c>
      <c r="L60" s="1">
        <f>AVERAGEIFS('Daily Weather Data'!L:L,'Daily Weather Data'!D:D,A60,'Daily Weather Data'!C:C,B60)</f>
        <v>27.673333333333332</v>
      </c>
      <c r="M60" s="1">
        <f>_xlfn.MINIFS('Daily Weather Data'!K:K,'Daily Weather Data'!D:D,A60,'Daily Weather Data'!C:C,B60)</f>
        <v>23.1</v>
      </c>
      <c r="N60" s="1">
        <f>_xlfn.MAXIFS('Daily Weather Data'!J:J,'Daily Weather Data'!D:D,A60,'Daily Weather Data'!C:C,B60)</f>
        <v>34.200000000000003</v>
      </c>
      <c r="O60" s="1">
        <f>_xlfn.MINIFS('Daily Weather Data'!L:L,'Daily Weather Data'!D:D,A60,'Daily Weather Data'!C:C,B60)</f>
        <v>25.9</v>
      </c>
      <c r="P60" s="1">
        <f>_xlfn.MAXIFS('Daily Weather Data'!L:L,'Daily Weather Data'!D:D,A60,'Daily Weather Data'!C:C,B60)</f>
        <v>29.4</v>
      </c>
      <c r="Q60" s="1">
        <f>SUMIFS('Daily Weather Data'!M:M,'Daily Weather Data'!D:D,A60,'Daily Weather Data'!C:C,B60)</f>
        <v>13</v>
      </c>
    </row>
    <row r="61" spans="1:17" x14ac:dyDescent="0.2">
      <c r="A61" s="1">
        <v>2021</v>
      </c>
      <c r="B61" s="1">
        <v>12</v>
      </c>
      <c r="C61" s="9">
        <v>44531</v>
      </c>
      <c r="D61" s="16">
        <f>SUMIFS('Weekly Incidence'!E:E, 'Weekly Incidence'!A:A, $A61, 'Weekly Incidence'!C:C, $B61)</f>
        <v>143</v>
      </c>
      <c r="E61" s="16">
        <v>1964000</v>
      </c>
      <c r="F61" s="20">
        <f t="shared" si="1"/>
        <v>7.2810590631364569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84.3</v>
      </c>
      <c r="J61" s="1">
        <f>AVERAGEIFS('Daily Weather Data'!I:I,'Daily Weather Data'!D:D,A61,'Daily Weather Data'!C:C,B61)</f>
        <v>12.4</v>
      </c>
      <c r="K61" s="1">
        <f>SUMIFS('Daily Weather Data'!I:I,'Daily Weather Data'!D:D,A61,'Daily Weather Data'!C:C,B61)</f>
        <v>384.40000000000003</v>
      </c>
      <c r="L61" s="1">
        <f>AVERAGEIFS('Daily Weather Data'!L:L,'Daily Weather Data'!D:D,A61,'Daily Weather Data'!C:C,B61)</f>
        <v>27.558064516129029</v>
      </c>
      <c r="M61" s="1">
        <f>_xlfn.MINIFS('Daily Weather Data'!K:K,'Daily Weather Data'!D:D,A61,'Daily Weather Data'!C:C,B61)</f>
        <v>23</v>
      </c>
      <c r="N61" s="1">
        <f>_xlfn.MAXIFS('Daily Weather Data'!J:J,'Daily Weather Data'!D:D,A61,'Daily Weather Data'!C:C,B61)</f>
        <v>34.299999999999997</v>
      </c>
      <c r="O61" s="1">
        <f>_xlfn.MINIFS('Daily Weather Data'!L:L,'Daily Weather Data'!D:D,A61,'Daily Weather Data'!C:C,B61)</f>
        <v>24.1</v>
      </c>
      <c r="P61" s="1">
        <f>_xlfn.MAXIFS('Daily Weather Data'!L:L,'Daily Weather Data'!D:D,A61,'Daily Weather Data'!C:C,B61)</f>
        <v>29.8</v>
      </c>
      <c r="Q61" s="1">
        <f>SUMIFS('Daily Weather Data'!M:M,'Daily Weather Data'!D:D,A61,'Daily Weather Data'!C:C,B61)</f>
        <v>17</v>
      </c>
    </row>
    <row r="62" spans="1:17" x14ac:dyDescent="0.2">
      <c r="A62" s="1">
        <v>2022</v>
      </c>
      <c r="B62" s="1">
        <v>1</v>
      </c>
      <c r="C62" s="9">
        <v>44562</v>
      </c>
      <c r="D62" s="16">
        <f>SUMIFS('Weekly Incidence'!E:E, 'Weekly Incidence'!A:A, $A62, 'Weekly Incidence'!C:C, $B62)</f>
        <v>291</v>
      </c>
      <c r="E62" s="16">
        <v>1961200</v>
      </c>
      <c r="F62" s="20">
        <f t="shared" si="1"/>
        <v>14.837854374872528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63.5</v>
      </c>
      <c r="J62" s="1">
        <f>AVERAGEIFS('Daily Weather Data'!I:I,'Daily Weather Data'!D:D,A62,'Daily Weather Data'!C:C,B62)</f>
        <v>7.6354838709677422</v>
      </c>
      <c r="K62" s="1">
        <f>SUMIFS('Daily Weather Data'!I:I,'Daily Weather Data'!D:D,A62,'Daily Weather Data'!C:C,B62)</f>
        <v>236.70000000000002</v>
      </c>
      <c r="L62" s="1">
        <f>AVERAGEIFS('Daily Weather Data'!L:L,'Daily Weather Data'!D:D,A62,'Daily Weather Data'!C:C,B62)</f>
        <v>27.70967741935484</v>
      </c>
      <c r="M62" s="1">
        <f>_xlfn.MINIFS('Daily Weather Data'!K:K,'Daily Weather Data'!D:D,A62,'Daily Weather Data'!C:C,B62)</f>
        <v>22.6</v>
      </c>
      <c r="N62" s="1">
        <f>_xlfn.MAXIFS('Daily Weather Data'!J:J,'Daily Weather Data'!D:D,A62,'Daily Weather Data'!C:C,B62)</f>
        <v>35</v>
      </c>
      <c r="O62" s="1">
        <f>_xlfn.MINIFS('Daily Weather Data'!L:L,'Daily Weather Data'!D:D,A62,'Daily Weather Data'!C:C,B62)</f>
        <v>25.4</v>
      </c>
      <c r="P62" s="1">
        <f>_xlfn.MAXIFS('Daily Weather Data'!L:L,'Daily Weather Data'!D:D,A62,'Daily Weather Data'!C:C,B62)</f>
        <v>28.9</v>
      </c>
      <c r="Q62" s="1">
        <f>SUMIFS('Daily Weather Data'!M:M,'Daily Weather Data'!D:D,A62,'Daily Weather Data'!C:C,B62)</f>
        <v>18</v>
      </c>
    </row>
    <row r="63" spans="1:17" x14ac:dyDescent="0.2">
      <c r="A63" s="1">
        <v>2022</v>
      </c>
      <c r="B63" s="1">
        <v>2</v>
      </c>
      <c r="C63" s="9">
        <v>44593</v>
      </c>
      <c r="D63" s="16">
        <f>SUMIFS('Weekly Incidence'!E:E, 'Weekly Incidence'!A:A, $A63, 'Weekly Incidence'!C:C, $B63)</f>
        <v>225</v>
      </c>
      <c r="E63" s="16">
        <v>1961200</v>
      </c>
      <c r="F63" s="20">
        <f t="shared" si="1"/>
        <v>11.472567815623087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32.5</v>
      </c>
      <c r="J63" s="1">
        <f>AVERAGEIFS('Daily Weather Data'!I:I,'Daily Weather Data'!D:D,A63,'Daily Weather Data'!C:C,B63)</f>
        <v>5.9392857142857141</v>
      </c>
      <c r="K63" s="1">
        <f>SUMIFS('Daily Weather Data'!I:I,'Daily Weather Data'!D:D,A63,'Daily Weather Data'!C:C,B63)</f>
        <v>166.29999999999998</v>
      </c>
      <c r="L63" s="1">
        <f>AVERAGEIFS('Daily Weather Data'!L:L,'Daily Weather Data'!D:D,A63,'Daily Weather Data'!C:C,B63)</f>
        <v>27.564285714285717</v>
      </c>
      <c r="M63" s="1">
        <f>_xlfn.MINIFS('Daily Weather Data'!K:K,'Daily Weather Data'!D:D,A63,'Daily Weather Data'!C:C,B63)</f>
        <v>22.7</v>
      </c>
      <c r="N63" s="1">
        <f>_xlfn.MAXIFS('Daily Weather Data'!J:J,'Daily Weather Data'!D:D,A63,'Daily Weather Data'!C:C,B63)</f>
        <v>35.200000000000003</v>
      </c>
      <c r="O63" s="1">
        <f>_xlfn.MINIFS('Daily Weather Data'!L:L,'Daily Weather Data'!D:D,A63,'Daily Weather Data'!C:C,B63)</f>
        <v>25.4</v>
      </c>
      <c r="P63" s="1">
        <f>_xlfn.MAXIFS('Daily Weather Data'!L:L,'Daily Weather Data'!D:D,A63,'Daily Weather Data'!C:C,B63)</f>
        <v>30.3</v>
      </c>
      <c r="Q63" s="1">
        <f>SUMIFS('Daily Weather Data'!M:M,'Daily Weather Data'!D:D,A63,'Daily Weather Data'!C:C,B63)</f>
        <v>20</v>
      </c>
    </row>
    <row r="64" spans="1:17" x14ac:dyDescent="0.2">
      <c r="A64" s="1">
        <v>2022</v>
      </c>
      <c r="B64" s="1">
        <v>3</v>
      </c>
      <c r="C64" s="9">
        <v>44621</v>
      </c>
      <c r="D64" s="16">
        <f>SUMIFS('Weekly Incidence'!E:E, 'Weekly Incidence'!A:A, $A64, 'Weekly Incidence'!C:C, $B64)</f>
        <v>200</v>
      </c>
      <c r="E64" s="16">
        <v>1961200</v>
      </c>
      <c r="F64" s="20">
        <f t="shared" si="1"/>
        <v>10.197838058331634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56.9</v>
      </c>
      <c r="J64" s="1">
        <f>AVERAGEIFS('Daily Weather Data'!I:I,'Daily Weather Data'!D:D,A64,'Daily Weather Data'!C:C,B64)</f>
        <v>15.733333333333336</v>
      </c>
      <c r="K64" s="1">
        <f>SUMIFS('Daily Weather Data'!I:I,'Daily Weather Data'!D:D,A64,'Daily Weather Data'!C:C,B64)</f>
        <v>377.60000000000008</v>
      </c>
      <c r="L64" s="1">
        <f>AVERAGEIFS('Daily Weather Data'!L:L,'Daily Weather Data'!D:D,A64,'Daily Weather Data'!C:C,B64)</f>
        <v>28.293548387096774</v>
      </c>
      <c r="M64" s="1">
        <f>_xlfn.MINIFS('Daily Weather Data'!K:K,'Daily Weather Data'!D:D,A64,'Daily Weather Data'!C:C,B64)</f>
        <v>23.2</v>
      </c>
      <c r="N64" s="1">
        <f>_xlfn.MAXIFS('Daily Weather Data'!J:J,'Daily Weather Data'!D:D,A64,'Daily Weather Data'!C:C,B64)</f>
        <v>35</v>
      </c>
      <c r="O64" s="1">
        <f>_xlfn.MINIFS('Daily Weather Data'!L:L,'Daily Weather Data'!D:D,A64,'Daily Weather Data'!C:C,B64)</f>
        <v>25.1</v>
      </c>
      <c r="P64" s="1">
        <f>_xlfn.MAXIFS('Daily Weather Data'!L:L,'Daily Weather Data'!D:D,A64,'Daily Weather Data'!C:C,B64)</f>
        <v>30.9</v>
      </c>
      <c r="Q64" s="1">
        <f>SUMIFS('Daily Weather Data'!M:M,'Daily Weather Data'!D:D,A64,'Daily Weather Data'!C:C,B64)</f>
        <v>19</v>
      </c>
    </row>
    <row r="65" spans="1:17" x14ac:dyDescent="0.2">
      <c r="A65" s="1">
        <v>2022</v>
      </c>
      <c r="B65" s="1">
        <v>4</v>
      </c>
      <c r="C65" s="9">
        <v>44652</v>
      </c>
      <c r="D65" s="16">
        <f>SUMIFS('Weekly Incidence'!E:E, 'Weekly Incidence'!A:A, $A65, 'Weekly Incidence'!C:C, $B65)</f>
        <v>437</v>
      </c>
      <c r="E65" s="16">
        <v>1961200</v>
      </c>
      <c r="F65" s="20">
        <f t="shared" si="1"/>
        <v>22.282276157454621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42.9</v>
      </c>
      <c r="J65" s="1">
        <f>AVERAGEIFS('Daily Weather Data'!I:I,'Daily Weather Data'!D:D,A65,'Daily Weather Data'!C:C,B65)</f>
        <v>6.322222222222222</v>
      </c>
      <c r="K65" s="1">
        <f>SUMIFS('Daily Weather Data'!I:I,'Daily Weather Data'!D:D,A65,'Daily Weather Data'!C:C,B65)</f>
        <v>170.7</v>
      </c>
      <c r="L65" s="1">
        <f>AVERAGEIFS('Daily Weather Data'!L:L,'Daily Weather Data'!D:D,A65,'Daily Weather Data'!C:C,B65)</f>
        <v>28.40333333333334</v>
      </c>
      <c r="M65" s="1">
        <f>_xlfn.MINIFS('Daily Weather Data'!K:K,'Daily Weather Data'!D:D,A65,'Daily Weather Data'!C:C,B65)</f>
        <v>23.4</v>
      </c>
      <c r="N65" s="1">
        <f>_xlfn.MAXIFS('Daily Weather Data'!J:J,'Daily Weather Data'!D:D,A65,'Daily Weather Data'!C:C,B65)</f>
        <v>35.1</v>
      </c>
      <c r="O65" s="1">
        <f>_xlfn.MINIFS('Daily Weather Data'!L:L,'Daily Weather Data'!D:D,A65,'Daily Weather Data'!C:C,B65)</f>
        <v>26.4</v>
      </c>
      <c r="P65" s="1">
        <f>_xlfn.MAXIFS('Daily Weather Data'!L:L,'Daily Weather Data'!D:D,A65,'Daily Weather Data'!C:C,B65)</f>
        <v>29.8</v>
      </c>
      <c r="Q65" s="1">
        <f>SUMIFS('Daily Weather Data'!M:M,'Daily Weather Data'!D:D,A65,'Daily Weather Data'!C:C,B65)</f>
        <v>15</v>
      </c>
    </row>
    <row r="66" spans="1:17" x14ac:dyDescent="0.2">
      <c r="A66" s="1">
        <v>2022</v>
      </c>
      <c r="B66" s="1">
        <v>5</v>
      </c>
      <c r="C66" s="9">
        <v>44682</v>
      </c>
      <c r="D66" s="16">
        <f>SUMIFS('Weekly Incidence'!E:E, 'Weekly Incidence'!A:A, $A66, 'Weekly Incidence'!C:C, $B66)</f>
        <v>148</v>
      </c>
      <c r="E66" s="16">
        <v>1961200</v>
      </c>
      <c r="F66" s="20">
        <f t="shared" si="1"/>
        <v>7.5464001631654085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49.5</v>
      </c>
      <c r="J66" s="1">
        <f>AVERAGEIFS('Daily Weather Data'!I:I,'Daily Weather Data'!D:D,A66,'Daily Weather Data'!C:C,B66)</f>
        <v>2.8225806451612905</v>
      </c>
      <c r="K66" s="1">
        <f>SUMIFS('Daily Weather Data'!I:I,'Daily Weather Data'!D:D,A66,'Daily Weather Data'!C:C,B66)</f>
        <v>87.5</v>
      </c>
      <c r="L66" s="1">
        <f>AVERAGEIFS('Daily Weather Data'!L:L,'Daily Weather Data'!D:D,A66,'Daily Weather Data'!C:C,B66)</f>
        <v>29.077419354838707</v>
      </c>
      <c r="M66" s="1">
        <f>_xlfn.MINIFS('Daily Weather Data'!K:K,'Daily Weather Data'!D:D,A66,'Daily Weather Data'!C:C,B66)</f>
        <v>23.8</v>
      </c>
      <c r="N66" s="1">
        <f>_xlfn.MAXIFS('Daily Weather Data'!J:J,'Daily Weather Data'!D:D,A66,'Daily Weather Data'!C:C,B66)</f>
        <v>36.1</v>
      </c>
      <c r="O66" s="1">
        <f>_xlfn.MINIFS('Daily Weather Data'!L:L,'Daily Weather Data'!D:D,A66,'Daily Weather Data'!C:C,B66)</f>
        <v>24.3</v>
      </c>
      <c r="P66" s="1">
        <f>_xlfn.MAXIFS('Daily Weather Data'!L:L,'Daily Weather Data'!D:D,A66,'Daily Weather Data'!C:C,B66)</f>
        <v>31.1</v>
      </c>
      <c r="Q66" s="1">
        <f>SUMIFS('Daily Weather Data'!M:M,'Daily Weather Data'!D:D,A66,'Daily Weather Data'!C:C,B66)</f>
        <v>12</v>
      </c>
    </row>
    <row r="67" spans="1:17" x14ac:dyDescent="0.2">
      <c r="A67" s="1">
        <v>2022</v>
      </c>
      <c r="B67" s="1">
        <v>6</v>
      </c>
      <c r="C67" s="9">
        <v>44713</v>
      </c>
      <c r="D67" s="16">
        <f>SUMIFS('Weekly Incidence'!E:E, 'Weekly Incidence'!A:A, $A67, 'Weekly Incidence'!C:C, $B67)</f>
        <v>455</v>
      </c>
      <c r="E67" s="16">
        <v>1961200</v>
      </c>
      <c r="F67" s="20">
        <f t="shared" si="1"/>
        <v>23.200081582704467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59.4</v>
      </c>
      <c r="J67" s="1">
        <f>AVERAGEIFS('Daily Weather Data'!I:I,'Daily Weather Data'!D:D,A67,'Daily Weather Data'!C:C,B67)</f>
        <v>9.0666666666666647</v>
      </c>
      <c r="K67" s="1">
        <f>SUMIFS('Daily Weather Data'!I:I,'Daily Weather Data'!D:D,A67,'Daily Weather Data'!C:C,B67)</f>
        <v>271.99999999999994</v>
      </c>
      <c r="L67" s="1">
        <f>AVERAGEIFS('Daily Weather Data'!L:L,'Daily Weather Data'!D:D,A67,'Daily Weather Data'!C:C,B67)</f>
        <v>28.016666666666669</v>
      </c>
      <c r="M67" s="1">
        <f>_xlfn.MINIFS('Daily Weather Data'!K:K,'Daily Weather Data'!D:D,A67,'Daily Weather Data'!C:C,B67)</f>
        <v>22</v>
      </c>
      <c r="N67" s="1">
        <f>_xlfn.MAXIFS('Daily Weather Data'!J:J,'Daily Weather Data'!D:D,A67,'Daily Weather Data'!C:C,B67)</f>
        <v>34.5</v>
      </c>
      <c r="O67" s="1">
        <f>_xlfn.MINIFS('Daily Weather Data'!L:L,'Daily Weather Data'!D:D,A67,'Daily Weather Data'!C:C,B67)</f>
        <v>25.3</v>
      </c>
      <c r="P67" s="1">
        <f>_xlfn.MAXIFS('Daily Weather Data'!L:L,'Daily Weather Data'!D:D,A67,'Daily Weather Data'!C:C,B67)</f>
        <v>30.2</v>
      </c>
      <c r="Q67" s="1">
        <f>SUMIFS('Daily Weather Data'!M:M,'Daily Weather Data'!D:D,A67,'Daily Weather Data'!C:C,B67)</f>
        <v>18</v>
      </c>
    </row>
    <row r="68" spans="1:17" x14ac:dyDescent="0.2">
      <c r="A68" s="1">
        <v>2022</v>
      </c>
      <c r="B68" s="1">
        <v>7</v>
      </c>
      <c r="C68" s="9">
        <v>44743</v>
      </c>
      <c r="D68" s="16">
        <f>SUMIFS('Weekly Incidence'!E:E, 'Weekly Incidence'!A:A, $A68, 'Weekly Incidence'!C:C, $B68)</f>
        <v>805</v>
      </c>
      <c r="E68" s="16">
        <v>1961200</v>
      </c>
      <c r="F68" s="20">
        <f t="shared" si="1"/>
        <v>41.046298184784824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30.5</v>
      </c>
      <c r="J68" s="1">
        <f>AVERAGEIFS('Daily Weather Data'!I:I,'Daily Weather Data'!D:D,A68,'Daily Weather Data'!C:C,B68)</f>
        <v>3.5931034482758615</v>
      </c>
      <c r="K68" s="1">
        <f>SUMIFS('Daily Weather Data'!I:I,'Daily Weather Data'!D:D,A68,'Daily Weather Data'!C:C,B68)</f>
        <v>104.19999999999999</v>
      </c>
      <c r="L68" s="1">
        <f>AVERAGEIFS('Daily Weather Data'!L:L,'Daily Weather Data'!D:D,A68,'Daily Weather Data'!C:C,B68)</f>
        <v>28.851612903225806</v>
      </c>
      <c r="M68" s="1">
        <f>_xlfn.MINIFS('Daily Weather Data'!K:K,'Daily Weather Data'!D:D,A68,'Daily Weather Data'!C:C,B68)</f>
        <v>22.8</v>
      </c>
      <c r="N68" s="1">
        <f>_xlfn.MAXIFS('Daily Weather Data'!J:J,'Daily Weather Data'!D:D,A68,'Daily Weather Data'!C:C,B68)</f>
        <v>36.5</v>
      </c>
      <c r="O68" s="1">
        <f>_xlfn.MINIFS('Daily Weather Data'!L:L,'Daily Weather Data'!D:D,A68,'Daily Weather Data'!C:C,B68)</f>
        <v>26.4</v>
      </c>
      <c r="P68" s="1">
        <f>_xlfn.MAXIFS('Daily Weather Data'!L:L,'Daily Weather Data'!D:D,A68,'Daily Weather Data'!C:C,B68)</f>
        <v>30.8</v>
      </c>
      <c r="Q68" s="1">
        <f>SUMIFS('Daily Weather Data'!M:M,'Daily Weather Data'!D:D,A68,'Daily Weather Data'!C:C,B68)</f>
        <v>10</v>
      </c>
    </row>
    <row r="69" spans="1:17" x14ac:dyDescent="0.2">
      <c r="A69" s="1">
        <v>2022</v>
      </c>
      <c r="B69" s="1">
        <v>8</v>
      </c>
      <c r="C69" s="9">
        <v>44774</v>
      </c>
      <c r="D69" s="16">
        <f>SUMIFS('Weekly Incidence'!E:E, 'Weekly Incidence'!A:A, $A69, 'Weekly Incidence'!C:C, $B69)</f>
        <v>601</v>
      </c>
      <c r="E69" s="16">
        <v>1961200</v>
      </c>
      <c r="F69" s="20">
        <f t="shared" si="1"/>
        <v>30.644503365286557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46</v>
      </c>
      <c r="J69" s="1">
        <f>AVERAGEIFS('Daily Weather Data'!I:I,'Daily Weather Data'!D:D,A69,'Daily Weather Data'!C:C,B69)</f>
        <v>7.4290322580645167</v>
      </c>
      <c r="K69" s="1">
        <f>SUMIFS('Daily Weather Data'!I:I,'Daily Weather Data'!D:D,A69,'Daily Weather Data'!C:C,B69)</f>
        <v>230.3</v>
      </c>
      <c r="L69" s="1">
        <f>AVERAGEIFS('Daily Weather Data'!L:L,'Daily Weather Data'!D:D,A69,'Daily Weather Data'!C:C,B69)</f>
        <v>27.896774193548382</v>
      </c>
      <c r="M69" s="1">
        <f>_xlfn.MINIFS('Daily Weather Data'!K:K,'Daily Weather Data'!D:D,A69,'Daily Weather Data'!C:C,B69)</f>
        <v>23</v>
      </c>
      <c r="N69" s="1">
        <f>_xlfn.MAXIFS('Daily Weather Data'!J:J,'Daily Weather Data'!D:D,A69,'Daily Weather Data'!C:C,B69)</f>
        <v>35.1</v>
      </c>
      <c r="O69" s="1">
        <f>_xlfn.MINIFS('Daily Weather Data'!L:L,'Daily Weather Data'!D:D,A69,'Daily Weather Data'!C:C,B69)</f>
        <v>26.1</v>
      </c>
      <c r="P69" s="1">
        <f>_xlfn.MAXIFS('Daily Weather Data'!L:L,'Daily Weather Data'!D:D,A69,'Daily Weather Data'!C:C,B69)</f>
        <v>30.2</v>
      </c>
      <c r="Q69" s="1">
        <f>SUMIFS('Daily Weather Data'!M:M,'Daily Weather Data'!D:D,A69,'Daily Weather Data'!C:C,B69)</f>
        <v>17</v>
      </c>
    </row>
    <row r="70" spans="1:17" x14ac:dyDescent="0.2">
      <c r="A70" s="1">
        <v>2022</v>
      </c>
      <c r="B70" s="1">
        <v>9</v>
      </c>
      <c r="C70" s="9">
        <v>44805</v>
      </c>
      <c r="D70" s="16">
        <f>SUMIFS('Weekly Incidence'!E:E, 'Weekly Incidence'!A:A, $A70, 'Weekly Incidence'!C:C, $B70)</f>
        <v>466</v>
      </c>
      <c r="E70" s="16">
        <v>1961200</v>
      </c>
      <c r="F70" s="20">
        <f t="shared" si="1"/>
        <v>23.760962675912705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45.7</v>
      </c>
      <c r="J70" s="1">
        <f>AVERAGEIFS('Daily Weather Data'!I:I,'Daily Weather Data'!D:D,A70,'Daily Weather Data'!C:C,B70)</f>
        <v>5.524137931034482</v>
      </c>
      <c r="K70" s="1">
        <f>SUMIFS('Daily Weather Data'!I:I,'Daily Weather Data'!D:D,A70,'Daily Weather Data'!C:C,B70)</f>
        <v>160.19999999999999</v>
      </c>
      <c r="L70" s="1">
        <f>AVERAGEIFS('Daily Weather Data'!L:L,'Daily Weather Data'!D:D,A70,'Daily Weather Data'!C:C,B70)</f>
        <v>27.769999999999996</v>
      </c>
      <c r="M70" s="1">
        <f>_xlfn.MINIFS('Daily Weather Data'!K:K,'Daily Weather Data'!D:D,A70,'Daily Weather Data'!C:C,B70)</f>
        <v>22.5</v>
      </c>
      <c r="N70" s="1">
        <f>_xlfn.MAXIFS('Daily Weather Data'!J:J,'Daily Weather Data'!D:D,A70,'Daily Weather Data'!C:C,B70)</f>
        <v>34.4</v>
      </c>
      <c r="O70" s="1">
        <f>_xlfn.MINIFS('Daily Weather Data'!L:L,'Daily Weather Data'!D:D,A70,'Daily Weather Data'!C:C,B70)</f>
        <v>25.8</v>
      </c>
      <c r="P70" s="1">
        <f>_xlfn.MAXIFS('Daily Weather Data'!L:L,'Daily Weather Data'!D:D,A70,'Daily Weather Data'!C:C,B70)</f>
        <v>29.5</v>
      </c>
      <c r="Q70" s="1">
        <f>SUMIFS('Daily Weather Data'!M:M,'Daily Weather Data'!D:D,A70,'Daily Weather Data'!C:C,B70)</f>
        <v>20</v>
      </c>
    </row>
    <row r="71" spans="1:17" x14ac:dyDescent="0.2">
      <c r="A71" s="1">
        <v>2022</v>
      </c>
      <c r="B71" s="1">
        <v>10</v>
      </c>
      <c r="C71" s="9">
        <v>44835</v>
      </c>
      <c r="D71" s="16">
        <f>SUMIFS('Weekly Incidence'!E:E, 'Weekly Incidence'!A:A, $A71, 'Weekly Incidence'!C:C, $B71)</f>
        <v>884</v>
      </c>
      <c r="E71" s="16">
        <v>1961200</v>
      </c>
      <c r="F71" s="20">
        <f t="shared" si="1"/>
        <v>45.074444217825821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34</v>
      </c>
      <c r="J71" s="1">
        <f>AVERAGEIFS('Daily Weather Data'!I:I,'Daily Weather Data'!D:D,A71,'Daily Weather Data'!C:C,B71)</f>
        <v>6.68888888888889</v>
      </c>
      <c r="K71" s="1">
        <f>SUMIFS('Daily Weather Data'!I:I,'Daily Weather Data'!D:D,A71,'Daily Weather Data'!C:C,B71)</f>
        <v>180.60000000000002</v>
      </c>
      <c r="L71" s="1">
        <f>AVERAGEIFS('Daily Weather Data'!L:L,'Daily Weather Data'!D:D,A71,'Daily Weather Data'!C:C,B71)</f>
        <v>27.5741935483871</v>
      </c>
      <c r="M71" s="1">
        <f>_xlfn.MINIFS('Daily Weather Data'!K:K,'Daily Weather Data'!D:D,A71,'Daily Weather Data'!C:C,B71)</f>
        <v>22.4</v>
      </c>
      <c r="N71" s="1">
        <f>_xlfn.MAXIFS('Daily Weather Data'!J:J,'Daily Weather Data'!D:D,A71,'Daily Weather Data'!C:C,B71)</f>
        <v>33.1</v>
      </c>
      <c r="O71" s="1">
        <f>_xlfn.MINIFS('Daily Weather Data'!L:L,'Daily Weather Data'!D:D,A71,'Daily Weather Data'!C:C,B71)</f>
        <v>25.6</v>
      </c>
      <c r="P71" s="1">
        <f>_xlfn.MAXIFS('Daily Weather Data'!L:L,'Daily Weather Data'!D:D,A71,'Daily Weather Data'!C:C,B71)</f>
        <v>29.8</v>
      </c>
      <c r="Q71" s="1">
        <f>SUMIFS('Daily Weather Data'!M:M,'Daily Weather Data'!D:D,A71,'Daily Weather Data'!C:C,B71)</f>
        <v>20</v>
      </c>
    </row>
    <row r="72" spans="1:17" x14ac:dyDescent="0.2">
      <c r="A72" s="1">
        <v>2022</v>
      </c>
      <c r="B72" s="1">
        <v>11</v>
      </c>
      <c r="C72" s="9">
        <v>44866</v>
      </c>
      <c r="D72" s="16">
        <f>SUMIFS('Weekly Incidence'!E:E, 'Weekly Incidence'!A:A, $A72, 'Weekly Incidence'!C:C, $B72)</f>
        <v>773</v>
      </c>
      <c r="E72" s="16">
        <v>1961200</v>
      </c>
      <c r="F72" s="20">
        <f t="shared" si="1"/>
        <v>39.414644095451763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69.099999999999994</v>
      </c>
      <c r="J72" s="1">
        <f>AVERAGEIFS('Daily Weather Data'!I:I,'Daily Weather Data'!D:D,A72,'Daily Weather Data'!C:C,B72)</f>
        <v>12.67</v>
      </c>
      <c r="K72" s="1">
        <f>SUMIFS('Daily Weather Data'!I:I,'Daily Weather Data'!D:D,A72,'Daily Weather Data'!C:C,B72)</f>
        <v>380.1</v>
      </c>
      <c r="L72" s="1">
        <f>AVERAGEIFS('Daily Weather Data'!L:L,'Daily Weather Data'!D:D,A72,'Daily Weather Data'!C:C,B72)</f>
        <v>27.280000000000008</v>
      </c>
      <c r="M72" s="1">
        <f>_xlfn.MINIFS('Daily Weather Data'!K:K,'Daily Weather Data'!D:D,A72,'Daily Weather Data'!C:C,B72)</f>
        <v>22.7</v>
      </c>
      <c r="N72" s="1">
        <f>_xlfn.MAXIFS('Daily Weather Data'!J:J,'Daily Weather Data'!D:D,A72,'Daily Weather Data'!C:C,B72)</f>
        <v>32.6</v>
      </c>
      <c r="O72" s="1">
        <f>_xlfn.MINIFS('Daily Weather Data'!L:L,'Daily Weather Data'!D:D,A72,'Daily Weather Data'!C:C,B72)</f>
        <v>25.6</v>
      </c>
      <c r="P72" s="1">
        <f>_xlfn.MAXIFS('Daily Weather Data'!L:L,'Daily Weather Data'!D:D,A72,'Daily Weather Data'!C:C,B72)</f>
        <v>28.7</v>
      </c>
      <c r="Q72" s="1">
        <f>SUMIFS('Daily Weather Data'!M:M,'Daily Weather Data'!D:D,A72,'Daily Weather Data'!C:C,B72)</f>
        <v>24</v>
      </c>
    </row>
    <row r="73" spans="1:17" x14ac:dyDescent="0.2">
      <c r="A73" s="1">
        <v>2022</v>
      </c>
      <c r="B73" s="1">
        <v>12</v>
      </c>
      <c r="C73" s="9">
        <v>44896</v>
      </c>
      <c r="D73" s="16">
        <f>SUMIFS('Weekly Incidence'!E:E, 'Weekly Incidence'!A:A, $A73, 'Weekly Incidence'!C:C, $B73)</f>
        <v>762</v>
      </c>
      <c r="E73" s="16">
        <v>1961200</v>
      </c>
      <c r="F73" s="20">
        <f t="shared" si="1"/>
        <v>38.853763002243525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71.900000000000006</v>
      </c>
      <c r="J73" s="1">
        <f>AVERAGEIFS('Daily Weather Data'!I:I,'Daily Weather Data'!D:D,A73,'Daily Weather Data'!C:C,B73)</f>
        <v>11.609999999999998</v>
      </c>
      <c r="K73" s="1">
        <f>SUMIFS('Daily Weather Data'!I:I,'Daily Weather Data'!D:D,A73,'Daily Weather Data'!C:C,B73)</f>
        <v>348.29999999999995</v>
      </c>
      <c r="L73" s="1">
        <f>AVERAGEIFS('Daily Weather Data'!L:L,'Daily Weather Data'!D:D,A73,'Daily Weather Data'!C:C,B73)</f>
        <v>26.896774193548382</v>
      </c>
      <c r="M73" s="1">
        <f>_xlfn.MINIFS('Daily Weather Data'!K:K,'Daily Weather Data'!D:D,A73,'Daily Weather Data'!C:C,B73)</f>
        <v>23.2</v>
      </c>
      <c r="N73" s="1">
        <f>_xlfn.MAXIFS('Daily Weather Data'!J:J,'Daily Weather Data'!D:D,A73,'Daily Weather Data'!C:C,B73)</f>
        <v>33.1</v>
      </c>
      <c r="O73" s="1">
        <f>_xlfn.MINIFS('Daily Weather Data'!L:L,'Daily Weather Data'!D:D,A73,'Daily Weather Data'!C:C,B73)</f>
        <v>25</v>
      </c>
      <c r="P73" s="1">
        <f>_xlfn.MAXIFS('Daily Weather Data'!L:L,'Daily Weather Data'!D:D,A73,'Daily Weather Data'!C:C,B73)</f>
        <v>29.1</v>
      </c>
      <c r="Q73" s="1">
        <f>SUMIFS('Daily Weather Data'!M:M,'Daily Weather Data'!D:D,A73,'Daily Weather Data'!C:C,B73)</f>
        <v>24</v>
      </c>
    </row>
  </sheetData>
  <conditionalFormatting sqref="H1:Q1">
    <cfRule type="cellIs" dxfId="1" priority="2" operator="equal">
      <formula>0</formula>
    </cfRule>
  </conditionalFormatting>
  <conditionalFormatting sqref="H1:Q1048576">
    <cfRule type="cellIs" dxfId="0" priority="1" stopIfTrue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2024-01-18T10:14:22Z</dcterms:created>
  <dcterms:modified xsi:type="dcterms:W3CDTF">2024-03-19T14:04:46Z</dcterms:modified>
</cp:coreProperties>
</file>